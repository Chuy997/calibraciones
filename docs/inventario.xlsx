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muro\Desktop\"/>
    </mc:Choice>
  </mc:AlternateContent>
  <xr:revisionPtr revIDLastSave="0" documentId="13_ncr:1_{47637A2E-81E7-4DE9-B5D5-59CF60821A71}" xr6:coauthVersionLast="47" xr6:coauthVersionMax="47" xr10:uidLastSave="{00000000-0000-0000-0000-000000000000}"/>
  <bookViews>
    <workbookView xWindow="-28920" yWindow="9585" windowWidth="29040" windowHeight="15720" tabRatio="500" firstSheet="3" activeTab="3" xr2:uid="{00000000-000D-0000-FFFF-FFFF00000000}"/>
  </bookViews>
  <sheets>
    <sheet name="Huawei (INVENTARIO JUNIO 24)" sheetId="1" state="hidden" r:id="rId1"/>
    <sheet name="PI ESTATUS" sheetId="2" state="hidden" r:id="rId2"/>
    <sheet name="Huawei" sheetId="3" state="hidden" r:id="rId3"/>
    <sheet name="Sheet1" sheetId="8" r:id="rId4"/>
    <sheet name="XYGP" sheetId="6" state="hidden" r:id="rId5"/>
  </sheets>
  <externalReferences>
    <externalReference r:id="rId6"/>
  </externalReferences>
  <definedNames>
    <definedName name="_xlnm._FilterDatabase" localSheetId="0" hidden="1">'Huawei (INVENTARIO JUNIO 24)'!$A$1:$O$2</definedName>
    <definedName name="lista" localSheetId="0">'[1]NRE Master ListOutdated'!$B$1:$B$2</definedName>
    <definedName name="_xlnm.Print_Area" localSheetId="0">'Huawei (INVENTARIO JUNIO 24)'!$A$1:$T$338</definedName>
  </definedNames>
  <calcPr calcId="191029" calcMode="autoNoTable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72" i="8" l="1"/>
  <c r="H671" i="8"/>
  <c r="H670" i="8"/>
  <c r="H669" i="8"/>
  <c r="H668" i="8"/>
  <c r="H667" i="8"/>
  <c r="H666" i="8"/>
  <c r="H665" i="8"/>
  <c r="H664" i="8"/>
  <c r="H663" i="8"/>
  <c r="H662" i="8"/>
  <c r="H661" i="8"/>
  <c r="H660" i="8"/>
  <c r="H659" i="8"/>
  <c r="H658" i="8"/>
  <c r="H657" i="8"/>
  <c r="H656" i="8"/>
  <c r="H655" i="8"/>
  <c r="H654" i="8"/>
  <c r="H653" i="8"/>
  <c r="H652" i="8"/>
  <c r="H651" i="8"/>
  <c r="H650" i="8"/>
  <c r="H649" i="8"/>
  <c r="H648" i="8"/>
  <c r="H647" i="8"/>
  <c r="H646" i="8"/>
  <c r="H645" i="8"/>
  <c r="H644" i="8"/>
  <c r="H643" i="8"/>
  <c r="H642" i="8"/>
  <c r="H641" i="8"/>
  <c r="H640" i="8"/>
  <c r="H639" i="8"/>
  <c r="H638" i="8"/>
  <c r="H637" i="8"/>
  <c r="H636" i="8"/>
  <c r="H635" i="8"/>
  <c r="H634" i="8"/>
  <c r="H633" i="8"/>
  <c r="H632" i="8"/>
  <c r="H631" i="8"/>
  <c r="H630" i="8"/>
  <c r="H629" i="8"/>
  <c r="H628" i="8"/>
  <c r="H627" i="8"/>
  <c r="H626" i="8"/>
  <c r="H625" i="8"/>
  <c r="H624" i="8"/>
  <c r="H623" i="8"/>
  <c r="H622" i="8"/>
  <c r="H621" i="8"/>
  <c r="H620" i="8"/>
  <c r="H619" i="8"/>
  <c r="H618" i="8"/>
  <c r="H617" i="8"/>
  <c r="H616" i="8"/>
  <c r="H615" i="8"/>
  <c r="H614" i="8"/>
  <c r="H613" i="8"/>
  <c r="H612" i="8"/>
  <c r="H611" i="8"/>
  <c r="H610" i="8"/>
  <c r="H609" i="8"/>
  <c r="H608" i="8"/>
  <c r="H607" i="8"/>
  <c r="H606" i="8"/>
  <c r="H605" i="8"/>
  <c r="H604" i="8"/>
  <c r="H603" i="8"/>
  <c r="H602" i="8"/>
  <c r="H601" i="8"/>
  <c r="H600" i="8"/>
  <c r="H594" i="8"/>
  <c r="H593" i="8"/>
  <c r="H592" i="8"/>
  <c r="H591" i="8"/>
  <c r="H590" i="8"/>
  <c r="H589" i="8"/>
  <c r="H588" i="8"/>
  <c r="H587" i="8"/>
  <c r="H586" i="8"/>
  <c r="H585" i="8"/>
  <c r="H584" i="8"/>
  <c r="H583" i="8"/>
  <c r="H582" i="8"/>
  <c r="H581" i="8"/>
  <c r="H580" i="8"/>
  <c r="H579" i="8"/>
  <c r="H578" i="8"/>
  <c r="H577" i="8"/>
  <c r="H576" i="8"/>
  <c r="H575" i="8"/>
  <c r="H574" i="8"/>
  <c r="H573" i="8"/>
  <c r="H572" i="8"/>
  <c r="H571" i="8"/>
  <c r="H570" i="8"/>
  <c r="H569" i="8"/>
  <c r="H568" i="8"/>
  <c r="H567" i="8"/>
  <c r="H566" i="8"/>
  <c r="H565" i="8"/>
  <c r="H564" i="8"/>
  <c r="H563" i="8"/>
  <c r="H562" i="8"/>
  <c r="H561" i="8"/>
  <c r="H560" i="8"/>
  <c r="H559" i="8"/>
  <c r="H558" i="8"/>
  <c r="H557" i="8"/>
  <c r="H556" i="8"/>
  <c r="H555" i="8"/>
  <c r="H554" i="8"/>
  <c r="H553" i="8"/>
  <c r="H552" i="8"/>
  <c r="H551" i="8"/>
  <c r="H550" i="8"/>
  <c r="H549" i="8"/>
  <c r="H548" i="8"/>
  <c r="H547" i="8"/>
  <c r="H546" i="8"/>
  <c r="H545" i="8"/>
  <c r="H544" i="8"/>
  <c r="H543" i="8"/>
  <c r="H542" i="8"/>
  <c r="H541" i="8"/>
  <c r="H540" i="8"/>
  <c r="H539" i="8"/>
  <c r="H538" i="8"/>
  <c r="H537" i="8"/>
  <c r="H536" i="8"/>
  <c r="H535" i="8"/>
  <c r="H534" i="8"/>
  <c r="H533" i="8"/>
  <c r="H532" i="8"/>
  <c r="H531" i="8"/>
  <c r="H530" i="8"/>
  <c r="H529" i="8"/>
  <c r="H528" i="8"/>
  <c r="H527" i="8"/>
  <c r="H526" i="8"/>
  <c r="H525" i="8"/>
  <c r="H524" i="8"/>
  <c r="H523" i="8"/>
  <c r="H522" i="8"/>
  <c r="H521" i="8"/>
  <c r="H520" i="8"/>
  <c r="H519" i="8"/>
  <c r="H518" i="8"/>
  <c r="H517" i="8"/>
  <c r="H516" i="8"/>
  <c r="H515" i="8"/>
  <c r="H514" i="8"/>
  <c r="H513" i="8"/>
  <c r="H512" i="8"/>
  <c r="H511" i="8"/>
  <c r="H510" i="8"/>
  <c r="H509" i="8"/>
  <c r="H508" i="8"/>
  <c r="H507" i="8"/>
  <c r="H506" i="8"/>
  <c r="H505" i="8"/>
  <c r="H504" i="8"/>
  <c r="H503" i="8"/>
  <c r="H502" i="8"/>
  <c r="H501" i="8"/>
  <c r="H500" i="8"/>
  <c r="H499" i="8"/>
  <c r="H498" i="8"/>
  <c r="H497" i="8"/>
  <c r="H496" i="8"/>
  <c r="H495" i="8"/>
  <c r="H494" i="8"/>
  <c r="H493" i="8"/>
  <c r="H492" i="8"/>
  <c r="H491" i="8"/>
  <c r="H490" i="8"/>
  <c r="H489" i="8"/>
  <c r="H488" i="8"/>
  <c r="H487" i="8"/>
  <c r="H486" i="8"/>
  <c r="H485" i="8"/>
  <c r="H484" i="8"/>
  <c r="H483" i="8"/>
  <c r="H482" i="8"/>
  <c r="H481" i="8"/>
  <c r="H480" i="8"/>
  <c r="H479" i="8"/>
  <c r="H478" i="8"/>
  <c r="H477" i="8"/>
  <c r="H476" i="8"/>
  <c r="H475" i="8"/>
  <c r="H474" i="8"/>
  <c r="H473" i="8"/>
  <c r="H472" i="8"/>
  <c r="H471" i="8"/>
  <c r="H470" i="8"/>
  <c r="H469" i="8"/>
  <c r="H468" i="8"/>
  <c r="H467" i="8"/>
  <c r="H466" i="8"/>
  <c r="H465" i="8"/>
  <c r="H464" i="8"/>
  <c r="H463" i="8"/>
  <c r="H462" i="8"/>
  <c r="H461" i="8"/>
  <c r="H460" i="8"/>
  <c r="H459" i="8"/>
  <c r="H458" i="8"/>
  <c r="H457" i="8"/>
  <c r="H456" i="8"/>
  <c r="H455" i="8"/>
  <c r="H454" i="8"/>
  <c r="H453" i="8"/>
  <c r="H452" i="8"/>
  <c r="H451" i="8"/>
  <c r="H450" i="8"/>
  <c r="H449" i="8"/>
  <c r="H448" i="8"/>
  <c r="H447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B453" i="3" l="1"/>
  <c r="F303" i="3"/>
  <c r="F264" i="3"/>
  <c r="F250" i="3"/>
  <c r="F233" i="3"/>
  <c r="F179" i="3"/>
  <c r="F100" i="3"/>
  <c r="F99" i="3"/>
  <c r="F98" i="3"/>
  <c r="F97" i="3"/>
  <c r="F61" i="3"/>
  <c r="F60" i="3"/>
  <c r="C340" i="1"/>
  <c r="C342" i="1" s="1"/>
</calcChain>
</file>

<file path=xl/sharedStrings.xml><?xml version="1.0" encoding="utf-8"?>
<sst xmlns="http://schemas.openxmlformats.org/spreadsheetml/2006/main" count="14996" uniqueCount="3028">
  <si>
    <t>No.</t>
  </si>
  <si>
    <t>Item</t>
  </si>
  <si>
    <t>Qty</t>
  </si>
  <si>
    <t>Brand</t>
  </si>
  <si>
    <t>Model</t>
  </si>
  <si>
    <t>Serial Number</t>
  </si>
  <si>
    <t>HW NRE no.</t>
  </si>
  <si>
    <t>HW Asset</t>
  </si>
  <si>
    <t>ZL Asset</t>
  </si>
  <si>
    <t>AI Asset</t>
  </si>
  <si>
    <t>Area owner</t>
  </si>
  <si>
    <t>Received date</t>
  </si>
  <si>
    <t>Place</t>
  </si>
  <si>
    <t>AGV</t>
  </si>
  <si>
    <t xml:space="preserve"> -</t>
  </si>
  <si>
    <t>-</t>
  </si>
  <si>
    <t xml:space="preserve"> - </t>
  </si>
  <si>
    <t>COMPLETED</t>
  </si>
  <si>
    <t>AMR robot</t>
  </si>
  <si>
    <t>Hikrobot</t>
  </si>
  <si>
    <t>MR-F1-1000U-B3</t>
  </si>
  <si>
    <t>K70940655</t>
  </si>
  <si>
    <t>NRE22070101</t>
  </si>
  <si>
    <t>M012301001</t>
  </si>
  <si>
    <t>HW0101033</t>
  </si>
  <si>
    <t>PROCESS</t>
  </si>
  <si>
    <t>Warehouse</t>
  </si>
  <si>
    <t>OK</t>
  </si>
  <si>
    <t>K31965490</t>
  </si>
  <si>
    <t>M012212001</t>
  </si>
  <si>
    <t>HW0101032</t>
  </si>
  <si>
    <t>Overhead Ionizer</t>
  </si>
  <si>
    <t>BFN Ion Balancing Fan</t>
  </si>
  <si>
    <t>BFN-803</t>
  </si>
  <si>
    <t>BFN-8032515</t>
  </si>
  <si>
    <t>N/A</t>
  </si>
  <si>
    <t>M011901080</t>
  </si>
  <si>
    <t>HW0104026</t>
  </si>
  <si>
    <t>TEST</t>
  </si>
  <si>
    <t>RECICLING AREA</t>
  </si>
  <si>
    <t>K70940654</t>
  </si>
  <si>
    <t>M012301002</t>
  </si>
  <si>
    <t>HW0101034</t>
  </si>
  <si>
    <t>Kiva Robot</t>
  </si>
  <si>
    <t>MR-Q3-600LE-C</t>
  </si>
  <si>
    <t>DA1166727</t>
  </si>
  <si>
    <t>NRE23061301</t>
  </si>
  <si>
    <t>M012310001</t>
  </si>
  <si>
    <t>HW0101042</t>
  </si>
  <si>
    <t>DA1166728</t>
  </si>
  <si>
    <t>M012310002</t>
  </si>
  <si>
    <t>HW0101043</t>
  </si>
  <si>
    <t>DA1166729</t>
  </si>
  <si>
    <t>M012310003</t>
  </si>
  <si>
    <t>HW0101044</t>
  </si>
  <si>
    <t>DA1166730</t>
  </si>
  <si>
    <t>M012310004</t>
  </si>
  <si>
    <t>HW0101045</t>
  </si>
  <si>
    <t>DA1166731</t>
  </si>
  <si>
    <t>M012310005</t>
  </si>
  <si>
    <t>HW0101046</t>
  </si>
  <si>
    <t>DA1166732</t>
  </si>
  <si>
    <t>M012310006</t>
  </si>
  <si>
    <t>HW0101047</t>
  </si>
  <si>
    <t>MIR 500</t>
  </si>
  <si>
    <t>Mobile Industrial Robots</t>
  </si>
  <si>
    <t>MiR 500</t>
  </si>
  <si>
    <t>M011901002</t>
  </si>
  <si>
    <t>HW0101019</t>
  </si>
  <si>
    <t>M011901001</t>
  </si>
  <si>
    <t>HW0101018</t>
  </si>
  <si>
    <t>AGV charger</t>
  </si>
  <si>
    <t>Automatic dispenser strapping</t>
  </si>
  <si>
    <t>ErgoPack</t>
  </si>
  <si>
    <t>700-2017</t>
  </si>
  <si>
    <t>1118E/7687</t>
  </si>
  <si>
    <t>M011901005</t>
  </si>
  <si>
    <t>HW0101008</t>
  </si>
  <si>
    <t>POC</t>
  </si>
  <si>
    <t>1118E/7686</t>
  </si>
  <si>
    <t>M011901006</t>
  </si>
  <si>
    <t>HW0101009</t>
  </si>
  <si>
    <t>Automatic Strapping machine</t>
  </si>
  <si>
    <t>Fromm</t>
  </si>
  <si>
    <t>P329</t>
  </si>
  <si>
    <t>M011901007</t>
  </si>
  <si>
    <t>HW0101050</t>
  </si>
  <si>
    <t>Receive</t>
  </si>
  <si>
    <t>M011901008</t>
  </si>
  <si>
    <t>HW0101051</t>
  </si>
  <si>
    <t>Shipping</t>
  </si>
  <si>
    <t>M011901009</t>
  </si>
  <si>
    <t>HW0101052</t>
  </si>
  <si>
    <t>Nave 2</t>
  </si>
  <si>
    <t>SCRAP</t>
  </si>
  <si>
    <t>M011901010</t>
  </si>
  <si>
    <t>HW0101053</t>
  </si>
  <si>
    <t>M011901011</t>
  </si>
  <si>
    <t>HW0101054</t>
  </si>
  <si>
    <t>Balances</t>
  </si>
  <si>
    <t>Cabinet carrier</t>
  </si>
  <si>
    <t>M011901025</t>
  </si>
  <si>
    <t>ATO</t>
  </si>
  <si>
    <t>M011901026</t>
  </si>
  <si>
    <t>Corner Cutting</t>
  </si>
  <si>
    <t>M011901028</t>
  </si>
  <si>
    <t>HW0101007</t>
  </si>
  <si>
    <t>MAINTENANCE</t>
  </si>
  <si>
    <t>M011901029</t>
  </si>
  <si>
    <t>HW0101021</t>
  </si>
  <si>
    <t>Computers</t>
  </si>
  <si>
    <t>Digital probe fiber check</t>
  </si>
  <si>
    <t>JDSU</t>
  </si>
  <si>
    <t>P5000</t>
  </si>
  <si>
    <t>I3010-811B2-071</t>
  </si>
  <si>
    <t>M011901031</t>
  </si>
  <si>
    <t>HW0104063</t>
  </si>
  <si>
    <t>Toolroom</t>
  </si>
  <si>
    <t>I3010-811B2-079</t>
  </si>
  <si>
    <t>M011901032</t>
  </si>
  <si>
    <t>HW0104062</t>
  </si>
  <si>
    <t>J2810-811B2-167</t>
  </si>
  <si>
    <t>M011901033</t>
  </si>
  <si>
    <t>HW0104061</t>
  </si>
  <si>
    <t>J1817-8193-0225</t>
  </si>
  <si>
    <t>M011901034</t>
  </si>
  <si>
    <t>HW0104060</t>
  </si>
  <si>
    <t>Display scale</t>
  </si>
  <si>
    <t>Gorilla Dispenser</t>
  </si>
  <si>
    <t>Better Packages</t>
  </si>
  <si>
    <t>Hand Jack with Scale</t>
  </si>
  <si>
    <t>Monolith Electric</t>
  </si>
  <si>
    <t>MTS-6000PLUS</t>
  </si>
  <si>
    <t>s/n: 80000065780200001</t>
  </si>
  <si>
    <t>PR240307ZL01</t>
  </si>
  <si>
    <t>M012410001</t>
  </si>
  <si>
    <t>s/n: 80000065780200003</t>
  </si>
  <si>
    <t>M012410002</t>
  </si>
  <si>
    <t>s/n: 80000065780200004</t>
  </si>
  <si>
    <t>M012410003</t>
  </si>
  <si>
    <t>Heat gun cordless</t>
  </si>
  <si>
    <t>Neu master</t>
  </si>
  <si>
    <t>NHG0050-18</t>
  </si>
  <si>
    <t>NRE20080402</t>
  </si>
  <si>
    <t>Hummidity meter</t>
  </si>
  <si>
    <t>EXTECH</t>
  </si>
  <si>
    <t>IT cabinet</t>
  </si>
  <si>
    <t>Huawei</t>
  </si>
  <si>
    <t>Cabinet500-06U06STS42I</t>
  </si>
  <si>
    <t>2102115145N0H8000003</t>
  </si>
  <si>
    <t>M011901059</t>
  </si>
  <si>
    <t>IT</t>
  </si>
  <si>
    <t>IT room</t>
  </si>
  <si>
    <t>2102115145N0H8000010</t>
  </si>
  <si>
    <t>M011901060</t>
  </si>
  <si>
    <t>APC</t>
  </si>
  <si>
    <t>AR3100</t>
  </si>
  <si>
    <t>LN10411L0075</t>
  </si>
  <si>
    <t>M011901061</t>
  </si>
  <si>
    <t>5N1128Q00125</t>
  </si>
  <si>
    <t>M011901062</t>
  </si>
  <si>
    <t>LCD Screen</t>
  </si>
  <si>
    <t>Mobile work station</t>
  </si>
  <si>
    <t>ACD</t>
  </si>
  <si>
    <t>MAX 1200</t>
  </si>
  <si>
    <t>NRE21012001</t>
  </si>
  <si>
    <t>NRE21012002</t>
  </si>
  <si>
    <t>M012002007</t>
  </si>
  <si>
    <t>HW0101003</t>
  </si>
  <si>
    <t>ATO LINE 4</t>
  </si>
  <si>
    <t>NRE21012003</t>
  </si>
  <si>
    <t>M012002008</t>
  </si>
  <si>
    <t>HW0104029</t>
  </si>
  <si>
    <t>NRE21012004</t>
  </si>
  <si>
    <t>M012002009</t>
  </si>
  <si>
    <t>HW0101006</t>
  </si>
  <si>
    <t>NRE21012005</t>
  </si>
  <si>
    <t>M012002010</t>
  </si>
  <si>
    <t>HW0101012</t>
  </si>
  <si>
    <t>NRE21012006</t>
  </si>
  <si>
    <t>M012002011</t>
  </si>
  <si>
    <t>HW0101002</t>
  </si>
  <si>
    <t>NRE21012007</t>
  </si>
  <si>
    <t>M012002012</t>
  </si>
  <si>
    <t>HW0101017</t>
  </si>
  <si>
    <t>SMK</t>
  </si>
  <si>
    <t>Module wifi</t>
  </si>
  <si>
    <t>TSC</t>
  </si>
  <si>
    <t xml:space="preserve">MX640P </t>
  </si>
  <si>
    <t>NRE23012007</t>
  </si>
  <si>
    <t>M012002013</t>
  </si>
  <si>
    <t>Multimeter</t>
  </si>
  <si>
    <t>Agilent</t>
  </si>
  <si>
    <t>U1241B</t>
  </si>
  <si>
    <t>MY50240297</t>
  </si>
  <si>
    <t>M011901073</t>
  </si>
  <si>
    <t>WH0103009</t>
  </si>
  <si>
    <t>MY50240124</t>
  </si>
  <si>
    <t>M011901074</t>
  </si>
  <si>
    <t>WH0103010</t>
  </si>
  <si>
    <t>MY50240199</t>
  </si>
  <si>
    <t>M011901075</t>
  </si>
  <si>
    <t>WH0103011</t>
  </si>
  <si>
    <t>Fluke</t>
  </si>
  <si>
    <t>M011901076</t>
  </si>
  <si>
    <t>HW0104055</t>
  </si>
  <si>
    <t>M011901077</t>
  </si>
  <si>
    <t>HW0104056</t>
  </si>
  <si>
    <t>EX350</t>
  </si>
  <si>
    <t>R190501102</t>
  </si>
  <si>
    <t>M012204014</t>
  </si>
  <si>
    <t>HW0303004</t>
  </si>
  <si>
    <t>R190502867</t>
  </si>
  <si>
    <t>M012204015</t>
  </si>
  <si>
    <t>HW0303006</t>
  </si>
  <si>
    <t>R190502873</t>
  </si>
  <si>
    <t>M012204016</t>
  </si>
  <si>
    <t>HW0103005</t>
  </si>
  <si>
    <t>M011901078</t>
  </si>
  <si>
    <t>LOST</t>
  </si>
  <si>
    <t>M011901079</t>
  </si>
  <si>
    <t>Scale with rolls</t>
  </si>
  <si>
    <t>M011901088</t>
  </si>
  <si>
    <t>WH0103030</t>
  </si>
  <si>
    <t>Small 3</t>
  </si>
  <si>
    <t>M011901089</t>
  </si>
  <si>
    <t>WH0103031</t>
  </si>
  <si>
    <t>Small 2</t>
  </si>
  <si>
    <t>M011901090</t>
  </si>
  <si>
    <t>WH0103027</t>
  </si>
  <si>
    <t>Small 1</t>
  </si>
  <si>
    <t>M011901091</t>
  </si>
  <si>
    <t>Plataform scale</t>
  </si>
  <si>
    <t>Just plataform</t>
  </si>
  <si>
    <t>M011901092</t>
  </si>
  <si>
    <t>WH0103028</t>
  </si>
  <si>
    <t>IMMEX ZL/CORTE</t>
  </si>
  <si>
    <t>A1000</t>
  </si>
  <si>
    <t>M011901093</t>
  </si>
  <si>
    <t>WH0103038</t>
  </si>
  <si>
    <t>A2000</t>
  </si>
  <si>
    <t>M011901094</t>
  </si>
  <si>
    <t>WH0103029</t>
  </si>
  <si>
    <t>Power Supply</t>
  </si>
  <si>
    <t>Ingresoll Rand</t>
  </si>
  <si>
    <t>EC24N-ESD</t>
  </si>
  <si>
    <t>Screw driver</t>
  </si>
  <si>
    <t>EL1007BC-ESD</t>
  </si>
  <si>
    <t>Shears 18"</t>
  </si>
  <si>
    <t>M011901119</t>
  </si>
  <si>
    <t>Tablet</t>
  </si>
  <si>
    <t>Thermographic camera</t>
  </si>
  <si>
    <t>ZKTECO</t>
  </si>
  <si>
    <t>178K</t>
  </si>
  <si>
    <t>NRE21011901</t>
  </si>
  <si>
    <t>Touch monitor</t>
  </si>
  <si>
    <t>LG</t>
  </si>
  <si>
    <t>17MB15T</t>
  </si>
  <si>
    <t>207NTYT91170</t>
  </si>
  <si>
    <t>NRE22081101</t>
  </si>
  <si>
    <t>M012209001</t>
  </si>
  <si>
    <t>HW0104092</t>
  </si>
  <si>
    <t>LINE 5</t>
  </si>
  <si>
    <t>207NTKF91349</t>
  </si>
  <si>
    <t>M012209002</t>
  </si>
  <si>
    <t>HW0104091</t>
  </si>
  <si>
    <t>Turn over machine</t>
  </si>
  <si>
    <t>Plataform and scale</t>
  </si>
  <si>
    <t>M011901128</t>
  </si>
  <si>
    <t>HW0101005</t>
  </si>
  <si>
    <t>TV 70"</t>
  </si>
  <si>
    <t>Sharp</t>
  </si>
  <si>
    <t>70"</t>
  </si>
  <si>
    <t>NRE21112601</t>
  </si>
  <si>
    <t>4T-C70BK2UD</t>
  </si>
  <si>
    <t>M012112023</t>
  </si>
  <si>
    <t>HW0102008</t>
  </si>
  <si>
    <t>007412098</t>
  </si>
  <si>
    <t>M012112024</t>
  </si>
  <si>
    <t>HW0102010</t>
  </si>
  <si>
    <t>ATO ROOM</t>
  </si>
  <si>
    <t>007412786</t>
  </si>
  <si>
    <t>M012112025</t>
  </si>
  <si>
    <t>HW0102009</t>
  </si>
  <si>
    <t>TV 75"</t>
  </si>
  <si>
    <t>Hisense</t>
  </si>
  <si>
    <t>75A6GR</t>
  </si>
  <si>
    <t>Unwinder tool</t>
  </si>
  <si>
    <t>LAAP</t>
  </si>
  <si>
    <t>Champion 67</t>
  </si>
  <si>
    <t>NRE21120602</t>
  </si>
  <si>
    <t>USB HUB</t>
  </si>
  <si>
    <t>Manhatttan</t>
  </si>
  <si>
    <t>NRE22031701</t>
  </si>
  <si>
    <t>Vernier</t>
  </si>
  <si>
    <t>Flexometer WiFi</t>
  </si>
  <si>
    <t>MIT-3033</t>
  </si>
  <si>
    <t>8000000283C30002</t>
  </si>
  <si>
    <t>NRE20101401</t>
  </si>
  <si>
    <t>M012112026</t>
  </si>
  <si>
    <t>WH0103024</t>
  </si>
  <si>
    <t>800000285118G818</t>
  </si>
  <si>
    <t>NRE21120701 </t>
  </si>
  <si>
    <t>M012202001</t>
  </si>
  <si>
    <t>WH0103046</t>
  </si>
  <si>
    <t>IMMEX ZL</t>
  </si>
  <si>
    <t>800000285118G9P3</t>
  </si>
  <si>
    <t>M012202002</t>
  </si>
  <si>
    <t>WH0103047</t>
  </si>
  <si>
    <t>800000283C30001</t>
  </si>
  <si>
    <t>M012112027</t>
  </si>
  <si>
    <t>wh0103023</t>
  </si>
  <si>
    <t>8000002852127HXM</t>
  </si>
  <si>
    <t>M012202003</t>
  </si>
  <si>
    <t>HW0103048</t>
  </si>
  <si>
    <t>Wifi scale</t>
  </si>
  <si>
    <t>MTS-6000-D</t>
  </si>
  <si>
    <t>800001183B230010</t>
  </si>
  <si>
    <t>NRE20108001</t>
  </si>
  <si>
    <t>M012112028</t>
  </si>
  <si>
    <t>WH0103017</t>
  </si>
  <si>
    <t>POC small 2</t>
  </si>
  <si>
    <t>800001180102AK36</t>
  </si>
  <si>
    <t>NRE21120702 </t>
  </si>
  <si>
    <t>HW0103041</t>
  </si>
  <si>
    <t>POC small 3</t>
  </si>
  <si>
    <t>Dust counter</t>
  </si>
  <si>
    <t>CEM</t>
  </si>
  <si>
    <t xml:space="preserve"> DT9881</t>
  </si>
  <si>
    <t>210712733 </t>
  </si>
  <si>
    <t>NRE29012002</t>
  </si>
  <si>
    <t>M012002002</t>
  </si>
  <si>
    <t>HW0303012</t>
  </si>
  <si>
    <t>E-label shelfs</t>
  </si>
  <si>
    <t>Opticon</t>
  </si>
  <si>
    <t>EE-750R</t>
  </si>
  <si>
    <t>NRE22100404</t>
  </si>
  <si>
    <t>BFN-8032516</t>
  </si>
  <si>
    <t>M011901081</t>
  </si>
  <si>
    <t>HW0104025</t>
  </si>
  <si>
    <t>Buttom</t>
  </si>
  <si>
    <t>Siemens</t>
  </si>
  <si>
    <t>Sirius ACT</t>
  </si>
  <si>
    <t>NRE23020803</t>
  </si>
  <si>
    <t>HW0102024</t>
  </si>
  <si>
    <t>M012303001</t>
  </si>
  <si>
    <t>M012303002</t>
  </si>
  <si>
    <t>Carts for gabinets</t>
  </si>
  <si>
    <t>WEBCAM</t>
  </si>
  <si>
    <t>Logitech</t>
  </si>
  <si>
    <t>C920</t>
  </si>
  <si>
    <t>NRE22032801</t>
  </si>
  <si>
    <t xml:space="preserve">Fixture for ONT </t>
  </si>
  <si>
    <t>8145V5 / Wifi 6</t>
  </si>
  <si>
    <t>Lifter</t>
  </si>
  <si>
    <t>Aluminlifter</t>
  </si>
  <si>
    <t>M011901069</t>
  </si>
  <si>
    <t>HW0101004</t>
  </si>
  <si>
    <t>Humidity meter</t>
  </si>
  <si>
    <t>ID: 30190</t>
  </si>
  <si>
    <t>M011901056</t>
  </si>
  <si>
    <t>WH0103001</t>
  </si>
  <si>
    <t>ID: 30191</t>
  </si>
  <si>
    <t>M011901057</t>
  </si>
  <si>
    <t>WH0103003</t>
  </si>
  <si>
    <t>BFN-8032504</t>
  </si>
  <si>
    <t>M011901082</t>
  </si>
  <si>
    <t>HW0104024</t>
  </si>
  <si>
    <t>BFN-8032526</t>
  </si>
  <si>
    <t>M011901083</t>
  </si>
  <si>
    <t>HW0104023</t>
  </si>
  <si>
    <t>BFN-8032521</t>
  </si>
  <si>
    <t>M011901084</t>
  </si>
  <si>
    <t>HW0104040</t>
  </si>
  <si>
    <t>BFN-8032480</t>
  </si>
  <si>
    <t>M011901085</t>
  </si>
  <si>
    <t>HW0104041</t>
  </si>
  <si>
    <t>BFN-8032508</t>
  </si>
  <si>
    <t>M011901086</t>
  </si>
  <si>
    <t>HW0104042</t>
  </si>
  <si>
    <t>Pallets for gabinets</t>
  </si>
  <si>
    <t>M011901087</t>
  </si>
  <si>
    <t>Unwinder plataform</t>
  </si>
  <si>
    <t>M012203001</t>
  </si>
  <si>
    <t>HW0101023</t>
  </si>
  <si>
    <t>M012203002</t>
  </si>
  <si>
    <t>HW0101022</t>
  </si>
  <si>
    <t>USB drive</t>
  </si>
  <si>
    <t>DIFFERENT BRAND</t>
  </si>
  <si>
    <t>16GB</t>
  </si>
  <si>
    <t>NRE22070108</t>
  </si>
  <si>
    <t>M012207004</t>
  </si>
  <si>
    <t>M012204008</t>
  </si>
  <si>
    <t>HW0104085</t>
  </si>
  <si>
    <t>M012204009</t>
  </si>
  <si>
    <t>HW0104086</t>
  </si>
  <si>
    <t>M012204010</t>
  </si>
  <si>
    <t>HW0104087</t>
  </si>
  <si>
    <t>M012204011</t>
  </si>
  <si>
    <t>HW0104088</t>
  </si>
  <si>
    <t>JUAN M</t>
  </si>
  <si>
    <t>UV Printer</t>
  </si>
  <si>
    <t>SIGNMAKER</t>
  </si>
  <si>
    <t>DOMINATOR 1212P</t>
  </si>
  <si>
    <t>IC431000505</t>
  </si>
  <si>
    <t>NRE22111101</t>
  </si>
  <si>
    <t>M012302001</t>
  </si>
  <si>
    <t>HW0101036</t>
  </si>
  <si>
    <t>UV printer transformator</t>
  </si>
  <si>
    <t>Industronic</t>
  </si>
  <si>
    <t>TA-10006</t>
  </si>
  <si>
    <t>TA-10006-310123041</t>
  </si>
  <si>
    <t>NRE23012401</t>
  </si>
  <si>
    <t>M012302002</t>
  </si>
  <si>
    <t>HW0101035</t>
  </si>
  <si>
    <t>Big Rubber Feet Gabinets</t>
  </si>
  <si>
    <t>M011901024</t>
  </si>
  <si>
    <t>Ionized Air Gun</t>
  </si>
  <si>
    <t>SCS</t>
  </si>
  <si>
    <t>00980</t>
  </si>
  <si>
    <t>009801838053</t>
  </si>
  <si>
    <t>M011901058</t>
  </si>
  <si>
    <t>HW0104027</t>
  </si>
  <si>
    <t>ATO line server</t>
  </si>
  <si>
    <t>M012204004</t>
  </si>
  <si>
    <t>HW0102014</t>
  </si>
  <si>
    <t>M012204005</t>
  </si>
  <si>
    <t>HW0102012</t>
  </si>
  <si>
    <t>POC Line 4</t>
  </si>
  <si>
    <t>M012204006</t>
  </si>
  <si>
    <t>Hw0102013</t>
  </si>
  <si>
    <t>M012204007</t>
  </si>
  <si>
    <t>HW0102011</t>
  </si>
  <si>
    <t>Tool room</t>
  </si>
  <si>
    <t>Face pad</t>
  </si>
  <si>
    <t>Elite Pass</t>
  </si>
  <si>
    <t>NRE22040502</t>
  </si>
  <si>
    <t>M012204012</t>
  </si>
  <si>
    <t>HW0104089</t>
  </si>
  <si>
    <t>Entrance</t>
  </si>
  <si>
    <t>PCI-7432(G)</t>
  </si>
  <si>
    <t>ADLINK</t>
  </si>
  <si>
    <t>ADLINK PCI
64-CH</t>
  </si>
  <si>
    <t>NRE23020802</t>
  </si>
  <si>
    <t>M012305001</t>
  </si>
  <si>
    <t>JESUS M</t>
  </si>
  <si>
    <t>Medvision 3 million pixel camera</t>
  </si>
  <si>
    <t>Medvision</t>
  </si>
  <si>
    <t>MV-UBS300C</t>
  </si>
  <si>
    <t>NRE21081101</t>
  </si>
  <si>
    <t>Line 5</t>
  </si>
  <si>
    <t>M012112021</t>
  </si>
  <si>
    <t>WH0103025</t>
  </si>
  <si>
    <t>HECTOR OJEDA</t>
  </si>
  <si>
    <t>M012112022</t>
  </si>
  <si>
    <t>WH0103040</t>
  </si>
  <si>
    <t>M012112013</t>
  </si>
  <si>
    <t>ZL0202255</t>
  </si>
  <si>
    <t>ATO Line 5</t>
  </si>
  <si>
    <t>M012112014</t>
  </si>
  <si>
    <t>ZL0202256</t>
  </si>
  <si>
    <t>M012112015</t>
  </si>
  <si>
    <t>ZL0202257</t>
  </si>
  <si>
    <t>M012112016</t>
  </si>
  <si>
    <t>ZL0202258</t>
  </si>
  <si>
    <t>M012112017</t>
  </si>
  <si>
    <t>ZL0202259</t>
  </si>
  <si>
    <t>M012112018</t>
  </si>
  <si>
    <t>ZL0202260</t>
  </si>
  <si>
    <t>M012112019</t>
  </si>
  <si>
    <t>ZL0202261</t>
  </si>
  <si>
    <t>M012112020</t>
  </si>
  <si>
    <t>ZL0202262</t>
  </si>
  <si>
    <t>Metalic Lockers</t>
  </si>
  <si>
    <t>M011901071</t>
  </si>
  <si>
    <t>Locker área</t>
  </si>
  <si>
    <t>M012208002</t>
  </si>
  <si>
    <t>HW0104028</t>
  </si>
  <si>
    <t>M012208003</t>
  </si>
  <si>
    <t>HW0104033</t>
  </si>
  <si>
    <t>M012208004</t>
  </si>
  <si>
    <t>HW0104034</t>
  </si>
  <si>
    <t>Highly integrated instrument test system</t>
  </si>
  <si>
    <t>LINPU</t>
  </si>
  <si>
    <t>F1200</t>
  </si>
  <si>
    <t>NRE21110801</t>
  </si>
  <si>
    <t>MP2 PNT LINE 1</t>
  </si>
  <si>
    <t>Humidifier machine</t>
  </si>
  <si>
    <t>Essick air products</t>
  </si>
  <si>
    <t>4DTS900</t>
  </si>
  <si>
    <t>FE21122 059</t>
  </si>
  <si>
    <t>M011901053</t>
  </si>
  <si>
    <t>HW0104057</t>
  </si>
  <si>
    <t>TOSHIBA</t>
  </si>
  <si>
    <t>32C100U1</t>
  </si>
  <si>
    <t>A23480T09211K1</t>
  </si>
  <si>
    <t>M011901063</t>
  </si>
  <si>
    <t>HW0102001</t>
  </si>
  <si>
    <t>SASMSUNG</t>
  </si>
  <si>
    <t>LN32B350F1D</t>
  </si>
  <si>
    <t>04E83CUH102763M</t>
  </si>
  <si>
    <t>M011901064</t>
  </si>
  <si>
    <t>HW0102002</t>
  </si>
  <si>
    <t>OFFICE</t>
  </si>
  <si>
    <t>37LD450</t>
  </si>
  <si>
    <t>102FXCR11323</t>
  </si>
  <si>
    <t>M011901065</t>
  </si>
  <si>
    <t>HW0102004</t>
  </si>
  <si>
    <t>Nurse B2</t>
  </si>
  <si>
    <t>PANASONIC</t>
  </si>
  <si>
    <t>TC-PA2C2X</t>
  </si>
  <si>
    <t>MA00811212</t>
  </si>
  <si>
    <t>M011901066</t>
  </si>
  <si>
    <t>HW0102005</t>
  </si>
  <si>
    <t>A23480T09439K1</t>
  </si>
  <si>
    <t>M011901067</t>
  </si>
  <si>
    <t>HW0102006</t>
  </si>
  <si>
    <t>LCD Screen 100''</t>
  </si>
  <si>
    <t>Panasonic</t>
  </si>
  <si>
    <t>TH-65PF50G</t>
  </si>
  <si>
    <t>M011901068</t>
  </si>
  <si>
    <t>Measurement station</t>
  </si>
  <si>
    <t>DWS6080</t>
  </si>
  <si>
    <t>SDWS105107FF4871</t>
  </si>
  <si>
    <t>NRE21120705</t>
  </si>
  <si>
    <t>M012204001</t>
  </si>
  <si>
    <t>WH0103049</t>
  </si>
  <si>
    <t>POC LINE 4</t>
  </si>
  <si>
    <t>SDWS105107FF4808</t>
  </si>
  <si>
    <t>M012204002</t>
  </si>
  <si>
    <t>WH0103050</t>
  </si>
  <si>
    <t>POC LINE 5</t>
  </si>
  <si>
    <t>Medium face mask</t>
  </si>
  <si>
    <t>3M</t>
  </si>
  <si>
    <t>M30-6200</t>
  </si>
  <si>
    <t>NRE20041305</t>
  </si>
  <si>
    <t>M012002004</t>
  </si>
  <si>
    <t>MIR broch</t>
  </si>
  <si>
    <t>Makine</t>
  </si>
  <si>
    <t>NRE23032001</t>
  </si>
  <si>
    <t>M012002005</t>
  </si>
  <si>
    <t>MIR Clamp</t>
  </si>
  <si>
    <t>Smart rack</t>
  </si>
  <si>
    <t>NRE29012001</t>
  </si>
  <si>
    <t>M012002006</t>
  </si>
  <si>
    <t>315E00004</t>
  </si>
  <si>
    <t>M011901095</t>
  </si>
  <si>
    <t>HW0104022</t>
  </si>
  <si>
    <t>Sin etiqueta</t>
  </si>
  <si>
    <t>315E00018</t>
  </si>
  <si>
    <t>M011901096</t>
  </si>
  <si>
    <t>HW0104021</t>
  </si>
  <si>
    <t>315E00012</t>
  </si>
  <si>
    <t>M011901097</t>
  </si>
  <si>
    <t>HW0104019</t>
  </si>
  <si>
    <t>315E00023</t>
  </si>
  <si>
    <t>M011901098</t>
  </si>
  <si>
    <t>HW0104020</t>
  </si>
  <si>
    <t>315E00005</t>
  </si>
  <si>
    <t>M011901099</t>
  </si>
  <si>
    <t>HW0104001</t>
  </si>
  <si>
    <t>ATO Line 2</t>
  </si>
  <si>
    <t>315E00007</t>
  </si>
  <si>
    <t>M011901100</t>
  </si>
  <si>
    <t>HW0104007</t>
  </si>
  <si>
    <t>ATO line 3</t>
  </si>
  <si>
    <t>315E00013</t>
  </si>
  <si>
    <t>M011901101</t>
  </si>
  <si>
    <t>HW0104071</t>
  </si>
  <si>
    <t>315E00030</t>
  </si>
  <si>
    <t>M011901102</t>
  </si>
  <si>
    <t>HW0104003</t>
  </si>
  <si>
    <t>315E00003</t>
  </si>
  <si>
    <t>M011901103</t>
  </si>
  <si>
    <t>HW0104010</t>
  </si>
  <si>
    <t>315E00015</t>
  </si>
  <si>
    <t>M011901104</t>
  </si>
  <si>
    <t>HW0104009</t>
  </si>
  <si>
    <t>|</t>
  </si>
  <si>
    <t>Rotative base</t>
  </si>
  <si>
    <t>VEKER</t>
  </si>
  <si>
    <t>16 X 16</t>
  </si>
  <si>
    <t>NRE20061701</t>
  </si>
  <si>
    <t>M012002014</t>
  </si>
  <si>
    <t>Scale with ethernet conection</t>
  </si>
  <si>
    <t>Mettler toledo</t>
  </si>
  <si>
    <t>IND570</t>
  </si>
  <si>
    <t>B841571090</t>
  </si>
  <si>
    <t>M011901106</t>
  </si>
  <si>
    <t>WH0103037</t>
  </si>
  <si>
    <t>AREA DE BATERIAS</t>
  </si>
  <si>
    <t>Vacuum cleaner small</t>
  </si>
  <si>
    <t>Atrix International</t>
  </si>
  <si>
    <t>Express Vac</t>
  </si>
  <si>
    <t>M011901129</t>
  </si>
  <si>
    <t>HW0104064</t>
  </si>
  <si>
    <t>Ok</t>
  </si>
  <si>
    <t>M011901043</t>
  </si>
  <si>
    <t>HW0104030</t>
  </si>
  <si>
    <t>M011901044</t>
  </si>
  <si>
    <t>HW0104031</t>
  </si>
  <si>
    <t>M011901045</t>
  </si>
  <si>
    <t>HW0104036</t>
  </si>
  <si>
    <t>QA receive</t>
  </si>
  <si>
    <t>M011901046</t>
  </si>
  <si>
    <t>HW0104037</t>
  </si>
  <si>
    <t>VEVOR</t>
  </si>
  <si>
    <t>FX-800</t>
  </si>
  <si>
    <t>PR240528ZL04</t>
  </si>
  <si>
    <t>M012408142</t>
  </si>
  <si>
    <t>Green cones</t>
  </si>
  <si>
    <t>INKAR</t>
  </si>
  <si>
    <t>M011901047</t>
  </si>
  <si>
    <t>315E00039</t>
  </si>
  <si>
    <t>M011901107</t>
  </si>
  <si>
    <t>HW0104015</t>
  </si>
  <si>
    <t>315E00038</t>
  </si>
  <si>
    <t>M011901108</t>
  </si>
  <si>
    <t>HW0104014</t>
  </si>
  <si>
    <t>ATO LINE 2</t>
  </si>
  <si>
    <t>314G00162</t>
  </si>
  <si>
    <t>M011901109</t>
  </si>
  <si>
    <t>HW0104017</t>
  </si>
  <si>
    <t>313H00249</t>
  </si>
  <si>
    <t>M011901110</t>
  </si>
  <si>
    <t>HW0104008</t>
  </si>
  <si>
    <t>ATO line 2</t>
  </si>
  <si>
    <t>315E00034</t>
  </si>
  <si>
    <t>M011901111</t>
  </si>
  <si>
    <t>HW0104006</t>
  </si>
  <si>
    <t>313H00231</t>
  </si>
  <si>
    <t>M011901112</t>
  </si>
  <si>
    <t>HW0104004</t>
  </si>
  <si>
    <t>315E00032</t>
  </si>
  <si>
    <t>M011901113</t>
  </si>
  <si>
    <t>HW0104012</t>
  </si>
  <si>
    <t>315E00040</t>
  </si>
  <si>
    <t>M011901114</t>
  </si>
  <si>
    <t>HW0104013</t>
  </si>
  <si>
    <t>315E00048</t>
  </si>
  <si>
    <t>M011901115</t>
  </si>
  <si>
    <t>HW0104072</t>
  </si>
  <si>
    <t>314G00168</t>
  </si>
  <si>
    <t>M011901116</t>
  </si>
  <si>
    <t>HW0104011</t>
  </si>
  <si>
    <t>Screw for Gabinets</t>
  </si>
  <si>
    <t>M011901117</t>
  </si>
  <si>
    <t>Small Rubber Feet Gabinets</t>
  </si>
  <si>
    <t>M011901121</t>
  </si>
  <si>
    <t>Electric stacker</t>
  </si>
  <si>
    <t>Noblelift</t>
  </si>
  <si>
    <t>PSE10M</t>
  </si>
  <si>
    <t>NRE21121701</t>
  </si>
  <si>
    <t>M012204013</t>
  </si>
  <si>
    <t>Fixture for ONT MP49/MP1</t>
  </si>
  <si>
    <t>NRE21101503</t>
  </si>
  <si>
    <t>M012112007</t>
  </si>
  <si>
    <t>HW0305001</t>
  </si>
  <si>
    <t>ONT LINE 1</t>
  </si>
  <si>
    <t>NRE23072004</t>
  </si>
  <si>
    <t>M012309001</t>
  </si>
  <si>
    <t>ONT LINE 2</t>
  </si>
  <si>
    <t>Fixture for ONT MP2</t>
  </si>
  <si>
    <t>NRE21101501</t>
  </si>
  <si>
    <t>M012112008</t>
  </si>
  <si>
    <t>HW0305003</t>
  </si>
  <si>
    <t>NRE23072003</t>
  </si>
  <si>
    <t>M012309002</t>
  </si>
  <si>
    <t>Fixture for ONT MP8</t>
  </si>
  <si>
    <t>NRE21101502</t>
  </si>
  <si>
    <t>M012112009</t>
  </si>
  <si>
    <t>HW0305002</t>
  </si>
  <si>
    <t>Lens for camera</t>
  </si>
  <si>
    <t>Mindvision</t>
  </si>
  <si>
    <t>M012201001</t>
  </si>
  <si>
    <t>Fixture for ONT MP8 + Camera Lens</t>
  </si>
  <si>
    <t>NRE23072002</t>
  </si>
  <si>
    <t>M012309003</t>
  </si>
  <si>
    <t>Forklift Extension</t>
  </si>
  <si>
    <t>M011901042</t>
  </si>
  <si>
    <t>Receive / Shipping</t>
  </si>
  <si>
    <t>Vacuum elevation machine</t>
  </si>
  <si>
    <t>Vaculex</t>
  </si>
  <si>
    <t>M011901130</t>
  </si>
  <si>
    <t>HW0101001</t>
  </si>
  <si>
    <t>Second building</t>
  </si>
  <si>
    <t>Winder cable machine</t>
  </si>
  <si>
    <t>With hidraulic</t>
  </si>
  <si>
    <t>M011901136</t>
  </si>
  <si>
    <t>HW0101016</t>
  </si>
  <si>
    <t>M011901137</t>
  </si>
  <si>
    <t>HW0101020</t>
  </si>
  <si>
    <t>Wrapper machine</t>
  </si>
  <si>
    <t>CSM</t>
  </si>
  <si>
    <t>NRE17012001</t>
  </si>
  <si>
    <t>S200746</t>
  </si>
  <si>
    <t>M012002021</t>
  </si>
  <si>
    <t>HW0101013</t>
  </si>
  <si>
    <t>S200745</t>
  </si>
  <si>
    <t>M012002022</t>
  </si>
  <si>
    <t>HW0101014</t>
  </si>
  <si>
    <t>Serial server</t>
  </si>
  <si>
    <t>Moxa</t>
  </si>
  <si>
    <t>NPort 6650-16</t>
  </si>
  <si>
    <t>NRE09032001</t>
  </si>
  <si>
    <t>AGV Charger wired</t>
  </si>
  <si>
    <t>Electronica Industriale</t>
  </si>
  <si>
    <t>CBHF2-PFC 48-20</t>
  </si>
  <si>
    <t>M011901004</t>
  </si>
  <si>
    <t>HW0104039</t>
  </si>
  <si>
    <t>TOOL</t>
  </si>
  <si>
    <t>Electrical Safety Analyzer</t>
  </si>
  <si>
    <t>Chroma</t>
  </si>
  <si>
    <t>19032G402001</t>
  </si>
  <si>
    <t>WH0103039</t>
  </si>
  <si>
    <t>Fiber inspector</t>
  </si>
  <si>
    <t>EXFO</t>
  </si>
  <si>
    <t>FIP 415B</t>
  </si>
  <si>
    <t>NRE100220001</t>
  </si>
  <si>
    <t>M012002003</t>
  </si>
  <si>
    <t>HW0303002</t>
  </si>
  <si>
    <t>AGV installation tool box</t>
  </si>
  <si>
    <t>M012212004</t>
  </si>
  <si>
    <t>M012310009</t>
  </si>
  <si>
    <t>BLD1</t>
  </si>
  <si>
    <t>0343108</t>
  </si>
  <si>
    <t>M011901012</t>
  </si>
  <si>
    <t>HW0104002</t>
  </si>
  <si>
    <t>ATO Line 4</t>
  </si>
  <si>
    <t>0342967</t>
  </si>
  <si>
    <t>M011901013</t>
  </si>
  <si>
    <t>HW0104005</t>
  </si>
  <si>
    <t>0343148</t>
  </si>
  <si>
    <t>M011901014</t>
  </si>
  <si>
    <t>HW0104018</t>
  </si>
  <si>
    <t>0356086</t>
  </si>
  <si>
    <t>M011901015</t>
  </si>
  <si>
    <t>HW0104016</t>
  </si>
  <si>
    <t>0172506</t>
  </si>
  <si>
    <t>M011901016</t>
  </si>
  <si>
    <t>HW0104052</t>
  </si>
  <si>
    <t>0172504</t>
  </si>
  <si>
    <t>M011901017</t>
  </si>
  <si>
    <t>HW0104051</t>
  </si>
  <si>
    <t>0342725</t>
  </si>
  <si>
    <t>M011901018</t>
  </si>
  <si>
    <t>HW0104065</t>
  </si>
  <si>
    <t>0358564</t>
  </si>
  <si>
    <t>M011901019</t>
  </si>
  <si>
    <t>HW0104066</t>
  </si>
  <si>
    <t>0358772</t>
  </si>
  <si>
    <t>M011901020</t>
  </si>
  <si>
    <t>HW0104067</t>
  </si>
  <si>
    <t>0358864</t>
  </si>
  <si>
    <t>M011901021</t>
  </si>
  <si>
    <t>HW0104068</t>
  </si>
  <si>
    <t>0358928</t>
  </si>
  <si>
    <t>M011901022</t>
  </si>
  <si>
    <t>HW0104069</t>
  </si>
  <si>
    <t>0344315</t>
  </si>
  <si>
    <t>M011901023</t>
  </si>
  <si>
    <t>HW0104070</t>
  </si>
  <si>
    <t>Banda saw</t>
  </si>
  <si>
    <t>Milwuakee</t>
  </si>
  <si>
    <t>2729-20</t>
  </si>
  <si>
    <t>F83AD173401199</t>
  </si>
  <si>
    <t>M012002001</t>
  </si>
  <si>
    <t>HW0104054</t>
  </si>
  <si>
    <t>Channel optical power meter</t>
  </si>
  <si>
    <t>OPM04 </t>
  </si>
  <si>
    <t>NRE21110802</t>
  </si>
  <si>
    <t>C030300882111080002</t>
  </si>
  <si>
    <t>M012112001</t>
  </si>
  <si>
    <t>HW0302003</t>
  </si>
  <si>
    <t>C030300882111080007</t>
  </si>
  <si>
    <t>M012112002</t>
  </si>
  <si>
    <t>HW0302004</t>
  </si>
  <si>
    <t>C030300882111080005</t>
  </si>
  <si>
    <t>M012112003</t>
  </si>
  <si>
    <t>HW0302005</t>
  </si>
  <si>
    <t>C030300882111080008</t>
  </si>
  <si>
    <t>M012112004</t>
  </si>
  <si>
    <t>HW0302006</t>
  </si>
  <si>
    <t>C030300882111080003</t>
  </si>
  <si>
    <t>M012112005</t>
  </si>
  <si>
    <t>HW0302007</t>
  </si>
  <si>
    <t>Cleanner optic fibers</t>
  </si>
  <si>
    <t>Clean Blast</t>
  </si>
  <si>
    <t>FCL-P1005</t>
  </si>
  <si>
    <t>L1517-8810-028</t>
  </si>
  <si>
    <t>M011901027</t>
  </si>
  <si>
    <t>HW0304001</t>
  </si>
  <si>
    <t>CPU</t>
  </si>
  <si>
    <t>ASUS</t>
  </si>
  <si>
    <t>EXPERTCENTER ADVANCED</t>
  </si>
  <si>
    <t>N7PFCG01F987314</t>
  </si>
  <si>
    <t>NRE23020801</t>
  </si>
  <si>
    <t xml:space="preserve">HW0102007 </t>
  </si>
  <si>
    <t>LENOVO</t>
  </si>
  <si>
    <t>ThinkStation P360 Ultra</t>
  </si>
  <si>
    <t>MJ0JYSQN</t>
  </si>
  <si>
    <t>NRE23080801</t>
  </si>
  <si>
    <t>MJ0JYSQK</t>
  </si>
  <si>
    <t>MJ0JYSQF</t>
  </si>
  <si>
    <t>MJ0JYSR3</t>
  </si>
  <si>
    <t>POC LINE 3</t>
  </si>
  <si>
    <t>Dielectric strength tester</t>
  </si>
  <si>
    <t>Statec</t>
  </si>
  <si>
    <t>M011901030</t>
  </si>
  <si>
    <t>FLUKE</t>
  </si>
  <si>
    <t>M011901040</t>
  </si>
  <si>
    <t>WH0103004</t>
  </si>
  <si>
    <t>Highly integrated instrument testsystem</t>
  </si>
  <si>
    <t>C02300001211116008</t>
  </si>
  <si>
    <t>M012112010</t>
  </si>
  <si>
    <t>HW0302001</t>
  </si>
  <si>
    <t>C02300001211116007</t>
  </si>
  <si>
    <t>M012112011</t>
  </si>
  <si>
    <t>HW0302002</t>
  </si>
  <si>
    <t>Horizontale Multi-contact</t>
  </si>
  <si>
    <t>Defiant</t>
  </si>
  <si>
    <t>10C-38CM</t>
  </si>
  <si>
    <t>NRE21011503</t>
  </si>
  <si>
    <t>M012112012</t>
  </si>
  <si>
    <t>Humidifier monitor</t>
  </si>
  <si>
    <t>Dayton</t>
  </si>
  <si>
    <t>1UHG3</t>
  </si>
  <si>
    <t>M011901055</t>
  </si>
  <si>
    <t>WH0103033</t>
  </si>
  <si>
    <t>Moisture Meter</t>
  </si>
  <si>
    <t>Amprobe</t>
  </si>
  <si>
    <t>MT-10</t>
  </si>
  <si>
    <t>M011901072</t>
  </si>
  <si>
    <t>WH0103032</t>
  </si>
  <si>
    <t>Pantone formula</t>
  </si>
  <si>
    <t>Pantone</t>
  </si>
  <si>
    <t>COATED &amp; UNCOATED</t>
  </si>
  <si>
    <t>NRE23032301</t>
  </si>
  <si>
    <t>M012303003</t>
  </si>
  <si>
    <t xml:space="preserve">Router </t>
  </si>
  <si>
    <t>Linksys</t>
  </si>
  <si>
    <t>EA6350</t>
  </si>
  <si>
    <t>14Y21J08659235</t>
  </si>
  <si>
    <t>M011901105</t>
  </si>
  <si>
    <t>HW0104083</t>
  </si>
  <si>
    <t>TBZCE1015747 </t>
  </si>
  <si>
    <t>M012002015</t>
  </si>
  <si>
    <t>HW0302008</t>
  </si>
  <si>
    <t>TBZCE1015858</t>
  </si>
  <si>
    <t>M012002016</t>
  </si>
  <si>
    <t>HW0302009</t>
  </si>
  <si>
    <t>LINE 2</t>
  </si>
  <si>
    <t>Shears 14"</t>
  </si>
  <si>
    <t>M011901118</t>
  </si>
  <si>
    <t>Shears 30"</t>
  </si>
  <si>
    <t>M011901120</t>
  </si>
  <si>
    <t>Stair with plataform</t>
  </si>
  <si>
    <t>M011901122</t>
  </si>
  <si>
    <t>HW0104079</t>
  </si>
  <si>
    <t>M011901123</t>
  </si>
  <si>
    <t>HW0104080</t>
  </si>
  <si>
    <t>M011901124</t>
  </si>
  <si>
    <t>HW0104151</t>
  </si>
  <si>
    <t>Plegable stair</t>
  </si>
  <si>
    <t>Westward</t>
  </si>
  <si>
    <t>WW-2011-04</t>
  </si>
  <si>
    <t>M012002017</t>
  </si>
  <si>
    <t>HW0104081</t>
  </si>
  <si>
    <t>Steel Weight 10 kg</t>
  </si>
  <si>
    <t>M011901125</t>
  </si>
  <si>
    <t>Steel Weight 20 kg</t>
  </si>
  <si>
    <t>M011901126</t>
  </si>
  <si>
    <t>T3 10</t>
  </si>
  <si>
    <t>4JPNU19B17101966</t>
  </si>
  <si>
    <t>NRE24012001</t>
  </si>
  <si>
    <t>M012002018</t>
  </si>
  <si>
    <t>HW0104053</t>
  </si>
  <si>
    <t>AGRK-W09</t>
  </si>
  <si>
    <t>T8PYD22215200967</t>
  </si>
  <si>
    <t>M012002019</t>
  </si>
  <si>
    <t>HW0104090</t>
  </si>
  <si>
    <t>Test hipot Crhoma</t>
  </si>
  <si>
    <t>A190316</t>
  </si>
  <si>
    <t>A19031600216</t>
  </si>
  <si>
    <t>M011901127</t>
  </si>
  <si>
    <t>WH0103036</t>
  </si>
  <si>
    <t>75G2144E4H00137</t>
  </si>
  <si>
    <t>NRE22032901</t>
  </si>
  <si>
    <t>M012203003</t>
  </si>
  <si>
    <t>HW0102015</t>
  </si>
  <si>
    <t>75G2144E4H00197</t>
  </si>
  <si>
    <t>M012203004</t>
  </si>
  <si>
    <t>HW0102019</t>
  </si>
  <si>
    <t>Seguridad</t>
  </si>
  <si>
    <t xml:space="preserve">75U7G </t>
  </si>
  <si>
    <t>75G21499ZH00015</t>
  </si>
  <si>
    <t>NRE22071301</t>
  </si>
  <si>
    <t>M012207001</t>
  </si>
  <si>
    <t>HW0102017</t>
  </si>
  <si>
    <t>75G21499ZH00057</t>
  </si>
  <si>
    <t>M012207002</t>
  </si>
  <si>
    <t>HW0102016</t>
  </si>
  <si>
    <t>75G21499ZH00002</t>
  </si>
  <si>
    <t>M012207003</t>
  </si>
  <si>
    <t>HW0102018</t>
  </si>
  <si>
    <t>Universal 1.25 mm/2.5 mm UPC patchcord</t>
  </si>
  <si>
    <t>12M</t>
  </si>
  <si>
    <t>NRE20071301</t>
  </si>
  <si>
    <t>M012002020</t>
  </si>
  <si>
    <t>Fixture wifi 6</t>
  </si>
  <si>
    <t>Cedepsa</t>
  </si>
  <si>
    <t>Wifi 6 ESD</t>
  </si>
  <si>
    <t>NRE23080701</t>
  </si>
  <si>
    <t>M012309004</t>
  </si>
  <si>
    <t>Magnifier Glass</t>
  </si>
  <si>
    <t>Bausch+Lomb</t>
  </si>
  <si>
    <t>4" with led</t>
  </si>
  <si>
    <t>M011901070</t>
  </si>
  <si>
    <t>Toolroom/QA</t>
  </si>
  <si>
    <t>AMR charger</t>
  </si>
  <si>
    <t>CH-48/30S</t>
  </si>
  <si>
    <t>K76128956</t>
  </si>
  <si>
    <t>M012212002</t>
  </si>
  <si>
    <t>HW0101031</t>
  </si>
  <si>
    <t>CH-CTM</t>
  </si>
  <si>
    <t>K76128954</t>
  </si>
  <si>
    <t>M012212003</t>
  </si>
  <si>
    <t>HW0101030</t>
  </si>
  <si>
    <t>K76128957</t>
  </si>
  <si>
    <t>M012301003</t>
  </si>
  <si>
    <t>HW0101029</t>
  </si>
  <si>
    <t>K76998220</t>
  </si>
  <si>
    <t>M012301004</t>
  </si>
  <si>
    <t>HW0101028</t>
  </si>
  <si>
    <t>MR-RA-CH-48/30B-CI</t>
  </si>
  <si>
    <t>DA1097494</t>
  </si>
  <si>
    <t>M012310007</t>
  </si>
  <si>
    <t>HW0101048</t>
  </si>
  <si>
    <t>DA1042642</t>
  </si>
  <si>
    <t>M012310008</t>
  </si>
  <si>
    <t>HW0101049</t>
  </si>
  <si>
    <t>DEFECT</t>
  </si>
  <si>
    <t>AGV Charger Plataform</t>
  </si>
  <si>
    <t>MIR</t>
  </si>
  <si>
    <t>MIR charge 500</t>
  </si>
  <si>
    <t>M011901003</t>
  </si>
  <si>
    <t>HW0104038</t>
  </si>
  <si>
    <t>Indicator for scale</t>
  </si>
  <si>
    <t>Avery weight tronix</t>
  </si>
  <si>
    <t>ZM303</t>
  </si>
  <si>
    <t>M011901035</t>
  </si>
  <si>
    <t>WH0103015</t>
  </si>
  <si>
    <t>ZM301</t>
  </si>
  <si>
    <t>M011901036</t>
  </si>
  <si>
    <t>WH0103016</t>
  </si>
  <si>
    <t>M011901037</t>
  </si>
  <si>
    <t>WH0103034</t>
  </si>
  <si>
    <t>POC small 1</t>
  </si>
  <si>
    <t>M011901038</t>
  </si>
  <si>
    <t>WH0103022</t>
  </si>
  <si>
    <t>M011901039</t>
  </si>
  <si>
    <t>WH0103035</t>
  </si>
  <si>
    <t>Dock for MIR</t>
  </si>
  <si>
    <t>Rack</t>
  </si>
  <si>
    <t>NRE21022401</t>
  </si>
  <si>
    <t>M012112006</t>
  </si>
  <si>
    <t>E-label</t>
  </si>
  <si>
    <t>B2C050C4</t>
  </si>
  <si>
    <t>M012211001</t>
  </si>
  <si>
    <t>HW0101039</t>
  </si>
  <si>
    <t>B2C050C0</t>
  </si>
  <si>
    <t>M012211002</t>
  </si>
  <si>
    <t>HW0101038</t>
  </si>
  <si>
    <t>B2C050CB</t>
  </si>
  <si>
    <t>M012211003</t>
  </si>
  <si>
    <t>HW0101041</t>
  </si>
  <si>
    <t>B2C050C1</t>
  </si>
  <si>
    <t>M012211004</t>
  </si>
  <si>
    <t>HW0101040</t>
  </si>
  <si>
    <t>B2C050C2</t>
  </si>
  <si>
    <t>M012211005</t>
  </si>
  <si>
    <t>HW0101037</t>
  </si>
  <si>
    <t>Electric car elevation</t>
  </si>
  <si>
    <t>35KT55</t>
  </si>
  <si>
    <t>M011901041</t>
  </si>
  <si>
    <t>HW0101015</t>
  </si>
  <si>
    <t>Cable cutting</t>
  </si>
  <si>
    <t>ok</t>
  </si>
  <si>
    <t>E-lable Shelft antenna</t>
  </si>
  <si>
    <t xml:space="preserve">EBS-40 </t>
  </si>
  <si>
    <t>004270</t>
  </si>
  <si>
    <t>NRE22100401</t>
  </si>
  <si>
    <t>M012211006</t>
  </si>
  <si>
    <t>Marathon</t>
  </si>
  <si>
    <t>Spare part AGV</t>
  </si>
  <si>
    <t xml:space="preserve">Sensor laser  </t>
  </si>
  <si>
    <t>STL1-3</t>
  </si>
  <si>
    <t>103300591ST13B0220800GLP</t>
  </si>
  <si>
    <t>M012301005</t>
  </si>
  <si>
    <t>HW0101027</t>
  </si>
  <si>
    <t>ToolRoom</t>
  </si>
  <si>
    <t>Servo motor</t>
  </si>
  <si>
    <t>AC Servo motor</t>
  </si>
  <si>
    <t>102800685YK00A3220800156</t>
  </si>
  <si>
    <t>M012212005</t>
  </si>
  <si>
    <t>HW0101026</t>
  </si>
  <si>
    <t>Wheels</t>
  </si>
  <si>
    <t>M012212006</t>
  </si>
  <si>
    <t>HW0101025 HW0101024</t>
  </si>
  <si>
    <t>Steering Wheel motor</t>
  </si>
  <si>
    <t>RCIG-060-11</t>
  </si>
  <si>
    <t>102800750MC22040028</t>
  </si>
  <si>
    <t>M012301006</t>
  </si>
  <si>
    <t>Stairs</t>
  </si>
  <si>
    <t xml:space="preserve">Digital Vernier </t>
  </si>
  <si>
    <t>Multitoyo</t>
  </si>
  <si>
    <t>CD-8"ASX</t>
  </si>
  <si>
    <t>A18220001</t>
  </si>
  <si>
    <t>M011901131</t>
  </si>
  <si>
    <t>HW0303007</t>
  </si>
  <si>
    <t>Digital Vernier</t>
  </si>
  <si>
    <t>Weston Plus</t>
  </si>
  <si>
    <t>CR2032</t>
  </si>
  <si>
    <t>M011901132</t>
  </si>
  <si>
    <t>HW0303003</t>
  </si>
  <si>
    <t>M011901133</t>
  </si>
  <si>
    <t>Stainless Hardened</t>
  </si>
  <si>
    <t>G09156747</t>
  </si>
  <si>
    <t>M011901134</t>
  </si>
  <si>
    <t>HW0303001</t>
  </si>
  <si>
    <t>Plastic Vernier</t>
  </si>
  <si>
    <t>Generic</t>
  </si>
  <si>
    <t>M011901135</t>
  </si>
  <si>
    <t>Wifi rule</t>
  </si>
  <si>
    <t>Switch video</t>
  </si>
  <si>
    <t>Wrappers 3"</t>
  </si>
  <si>
    <t>Tweezers to cable cutting Red</t>
  </si>
  <si>
    <t>Tweezers to cable cutting Blue</t>
  </si>
  <si>
    <t>CCTV camera</t>
  </si>
  <si>
    <t>TRANSFORMATOR CABINET ATO</t>
  </si>
  <si>
    <t>NRE23022401</t>
  </si>
  <si>
    <t>M012305002</t>
  </si>
  <si>
    <t>Crosshead Screwdriver Kit (6pz)</t>
  </si>
  <si>
    <t>URREA</t>
  </si>
  <si>
    <t xml:space="preserve">PR240528ZL04 </t>
  </si>
  <si>
    <t>M01240807</t>
  </si>
  <si>
    <t>QUALITY</t>
  </si>
  <si>
    <t>Repair</t>
  </si>
  <si>
    <t>Flathead Screwdriver Kit (6pz)</t>
  </si>
  <si>
    <t>M01240808</t>
  </si>
  <si>
    <t>Electric Drill</t>
  </si>
  <si>
    <t>Milwaukee</t>
  </si>
  <si>
    <t>M18</t>
  </si>
  <si>
    <t>F25CR241300194</t>
  </si>
  <si>
    <t>M01240803</t>
  </si>
  <si>
    <t>Battery</t>
  </si>
  <si>
    <t>Electric Drill Battery 18v</t>
  </si>
  <si>
    <t>M01240804</t>
  </si>
  <si>
    <t>M01240805</t>
  </si>
  <si>
    <t>Electric Drill Battery Charger</t>
  </si>
  <si>
    <t>M12-M18</t>
  </si>
  <si>
    <t>D63DC241125523D</t>
  </si>
  <si>
    <t>M01240806</t>
  </si>
  <si>
    <t>Standard Hammer</t>
  </si>
  <si>
    <t>16 Oz</t>
  </si>
  <si>
    <t>M01240809</t>
  </si>
  <si>
    <t>Right angle screwdriver attachement</t>
  </si>
  <si>
    <t>DeWalt</t>
  </si>
  <si>
    <t>DWARA120</t>
  </si>
  <si>
    <t>M01240810</t>
  </si>
  <si>
    <t>Arch Saw</t>
  </si>
  <si>
    <t>353F</t>
  </si>
  <si>
    <t>M01240811</t>
  </si>
  <si>
    <t>Drill Head kit</t>
  </si>
  <si>
    <t>JUP48</t>
  </si>
  <si>
    <t>M01240812</t>
  </si>
  <si>
    <t>MOXA</t>
  </si>
  <si>
    <t>Nport</t>
  </si>
  <si>
    <t>Nport 5650-16</t>
  </si>
  <si>
    <t>TBDFE1065342</t>
  </si>
  <si>
    <t>PR240528ZL03</t>
  </si>
  <si>
    <t>M012409004</t>
  </si>
  <si>
    <t>PC</t>
  </si>
  <si>
    <t>Test PC</t>
  </si>
  <si>
    <t>ExpertCenter D5 SFF</t>
  </si>
  <si>
    <t>R6PFCG007205234</t>
  </si>
  <si>
    <t>PR240528ZL01</t>
  </si>
  <si>
    <t>M012409001</t>
  </si>
  <si>
    <t>R6PFCG00710123D</t>
  </si>
  <si>
    <t>M012409002</t>
  </si>
  <si>
    <t>R6PFCG006881232</t>
  </si>
  <si>
    <t>M012409003</t>
  </si>
  <si>
    <t>AGV KIVA Racks</t>
  </si>
  <si>
    <t>Kit Allen Keys</t>
  </si>
  <si>
    <t>TOTAL QUANTITY</t>
  </si>
  <si>
    <t>TOTAL COMPLETED</t>
  </si>
  <si>
    <t>MISSING</t>
  </si>
  <si>
    <t>%</t>
  </si>
  <si>
    <t>ESTATUS</t>
  </si>
  <si>
    <t>LOCALIDAD</t>
  </si>
  <si>
    <t xml:space="preserve">SCRAP AREA </t>
  </si>
  <si>
    <t>CABLE CUTTING</t>
  </si>
  <si>
    <t>Receive/shipping</t>
  </si>
  <si>
    <t>M011901048</t>
  </si>
  <si>
    <t>M011901049</t>
  </si>
  <si>
    <t>M011901050</t>
  </si>
  <si>
    <t>M011901051</t>
  </si>
  <si>
    <t>RECYCLING AREA</t>
  </si>
  <si>
    <t>M011901052</t>
  </si>
  <si>
    <t>Humidifier meter and monitor</t>
  </si>
  <si>
    <t>M011901054</t>
  </si>
  <si>
    <t>Locker area</t>
  </si>
  <si>
    <t>ANDEN 12</t>
  </si>
  <si>
    <t>CABLE CUTTING STATION</t>
  </si>
  <si>
    <t>Huawei MO</t>
  </si>
  <si>
    <t>PR-NRE</t>
  </si>
  <si>
    <t>Status</t>
  </si>
  <si>
    <t>Scrap reason</t>
  </si>
  <si>
    <t>Flejadora automatica</t>
  </si>
  <si>
    <t>BOX 4 Toolroom</t>
  </si>
  <si>
    <t>BOX 2 Toolroom</t>
  </si>
  <si>
    <t>ExpertCenter Essential D500SDES</t>
  </si>
  <si>
    <t>Door 5</t>
  </si>
  <si>
    <t>No used anymore</t>
  </si>
  <si>
    <t>BOX 2 TOOLROOM</t>
  </si>
  <si>
    <t>8145V5 / Wifi 5</t>
  </si>
  <si>
    <t>Forklift Extension 108" x 6"</t>
  </si>
  <si>
    <t>Grainger</t>
  </si>
  <si>
    <t>108" x 6"</t>
  </si>
  <si>
    <t xml:space="preserve">PR240424ZL01 </t>
  </si>
  <si>
    <t>Receiving</t>
  </si>
  <si>
    <t>Despachadora cinta gorila</t>
  </si>
  <si>
    <t>Missing 1</t>
  </si>
  <si>
    <t>Hummidity meditor</t>
  </si>
  <si>
    <t>Higrometro</t>
  </si>
  <si>
    <t>MV-LD-4-4M-G</t>
  </si>
  <si>
    <t xml:space="preserve">CALIDAD </t>
  </si>
  <si>
    <t>Lost</t>
  </si>
  <si>
    <t>Lost / Replace</t>
  </si>
  <si>
    <t>BOX 6 Toolroom</t>
  </si>
  <si>
    <t>Shelft antenna</t>
  </si>
  <si>
    <t>HW0101025/HW0101024</t>
  </si>
  <si>
    <t>Damaged</t>
  </si>
  <si>
    <t>Universal 1.25 mm/UPC patchcord</t>
  </si>
  <si>
    <t>Universal 2.5 mm/APC</t>
  </si>
  <si>
    <t>25M</t>
  </si>
  <si>
    <t>NRE22071101</t>
  </si>
  <si>
    <t>CABLE</t>
  </si>
  <si>
    <t>NRE031701</t>
  </si>
  <si>
    <t>WH0103048</t>
  </si>
  <si>
    <t>WH0103041</t>
  </si>
  <si>
    <t xml:space="preserve">Torque meter </t>
  </si>
  <si>
    <t>HIOS</t>
  </si>
  <si>
    <t>HP-100</t>
  </si>
  <si>
    <t>HW0303011</t>
  </si>
  <si>
    <t>AGV rack</t>
  </si>
  <si>
    <t>China</t>
  </si>
  <si>
    <t>NRE23072001</t>
  </si>
  <si>
    <t>PSS</t>
  </si>
  <si>
    <t>125cmx85cmx203cm</t>
  </si>
  <si>
    <t>PR240404ZL01</t>
  </si>
  <si>
    <t>Repair kit for QA</t>
  </si>
  <si>
    <t>QA</t>
  </si>
  <si>
    <t>Repair area</t>
  </si>
  <si>
    <t>Angle Extension for Screwdriver</t>
  </si>
  <si>
    <t>DWALT</t>
  </si>
  <si>
    <t>Drill</t>
  </si>
  <si>
    <t>MILWAUKEE</t>
  </si>
  <si>
    <t>Drill heads</t>
  </si>
  <si>
    <t>Hammer</t>
  </si>
  <si>
    <t>PDA</t>
  </si>
  <si>
    <t>CHAINWAY</t>
  </si>
  <si>
    <t>MC502SE-N-CBKC8R6A12</t>
  </si>
  <si>
    <t xml:space="preserve">PR240614ZL01 </t>
  </si>
  <si>
    <t>HMC50E241000015</t>
  </si>
  <si>
    <t>M012411001</t>
  </si>
  <si>
    <t>HMC50E241000016</t>
  </si>
  <si>
    <t>M012411002</t>
  </si>
  <si>
    <t>HMC50E241000017</t>
  </si>
  <si>
    <t>M012411003</t>
  </si>
  <si>
    <t>HMC50E241000018</t>
  </si>
  <si>
    <t>M012411004</t>
  </si>
  <si>
    <t>WAREHOUSE</t>
  </si>
  <si>
    <t>HMC50E241000019</t>
  </si>
  <si>
    <t>M012411005</t>
  </si>
  <si>
    <t>HMC50E241000020</t>
  </si>
  <si>
    <t>M012411006</t>
  </si>
  <si>
    <t>HMC50E241000021</t>
  </si>
  <si>
    <t>M012411007</t>
  </si>
  <si>
    <t>HMC50E241000022</t>
  </si>
  <si>
    <t>M012411008</t>
  </si>
  <si>
    <t>HMC50E241000023</t>
  </si>
  <si>
    <t>M012411009</t>
  </si>
  <si>
    <t>HMC50E241000024</t>
  </si>
  <si>
    <t>M012411010</t>
  </si>
  <si>
    <t>HMC50E241000025</t>
  </si>
  <si>
    <t>M012411011</t>
  </si>
  <si>
    <t>HMC50E241000026</t>
  </si>
  <si>
    <t>M012411012</t>
  </si>
  <si>
    <t>HMC50E241000027</t>
  </si>
  <si>
    <t>M012411013</t>
  </si>
  <si>
    <t>HMC50E241000028</t>
  </si>
  <si>
    <t>M012411014</t>
  </si>
  <si>
    <t>HMC50E241000029</t>
  </si>
  <si>
    <t>M012411015</t>
  </si>
  <si>
    <t>HMC50E241000030</t>
  </si>
  <si>
    <t>M012411016</t>
  </si>
  <si>
    <t>HMC50E241000031</t>
  </si>
  <si>
    <t>M012411017</t>
  </si>
  <si>
    <t>HMC50E241000032</t>
  </si>
  <si>
    <t>M012411018</t>
  </si>
  <si>
    <t>HMC50E241000034</t>
  </si>
  <si>
    <t>M012411019</t>
  </si>
  <si>
    <t>HMC50E241000035</t>
  </si>
  <si>
    <t>M012411020</t>
  </si>
  <si>
    <t>CPE</t>
  </si>
  <si>
    <t>Lierda</t>
  </si>
  <si>
    <t>Lierda MX880 5G data</t>
  </si>
  <si>
    <t xml:space="preserve">PR240626ZL01 </t>
  </si>
  <si>
    <t>79RA2437000041</t>
  </si>
  <si>
    <t>M012410004</t>
  </si>
  <si>
    <t>PR240626ZL01 </t>
  </si>
  <si>
    <t>TOOLROOM</t>
  </si>
  <si>
    <t>79RA2437000050</t>
  </si>
  <si>
    <t>M012410005</t>
  </si>
  <si>
    <t>79RA2437000119</t>
  </si>
  <si>
    <t>M012410006</t>
  </si>
  <si>
    <t>79RA2437000115</t>
  </si>
  <si>
    <t>M012410007</t>
  </si>
  <si>
    <t>79RA2437000045</t>
  </si>
  <si>
    <t>M012410008</t>
  </si>
  <si>
    <t>79RA2437000182</t>
  </si>
  <si>
    <t>M012410009</t>
  </si>
  <si>
    <t>79RA2437000116</t>
  </si>
  <si>
    <t>M012410010</t>
  </si>
  <si>
    <t>79RA2437000120</t>
  </si>
  <si>
    <t>M012410011</t>
  </si>
  <si>
    <t>79RA2437000052</t>
  </si>
  <si>
    <t>M012410012</t>
  </si>
  <si>
    <t>INNOGENCE TECH</t>
  </si>
  <si>
    <t>I3-L01</t>
  </si>
  <si>
    <t>M012411026</t>
  </si>
  <si>
    <t>PR241016ZL01</t>
  </si>
  <si>
    <t>M012411022</t>
  </si>
  <si>
    <t>M012411023</t>
  </si>
  <si>
    <t>M012411024</t>
  </si>
  <si>
    <t>M012411025</t>
  </si>
  <si>
    <t>Multi-Line Laser</t>
  </si>
  <si>
    <t>STABILA</t>
  </si>
  <si>
    <t>LAX-400</t>
  </si>
  <si>
    <t>L20215DYJM4800002</t>
  </si>
  <si>
    <t>M012411021</t>
  </si>
  <si>
    <t>PR250724ZL01</t>
  </si>
  <si>
    <t>19/11/2024</t>
  </si>
  <si>
    <t>Laser Measurement tool</t>
  </si>
  <si>
    <t>BOSCH</t>
  </si>
  <si>
    <t>GLM 100-25 C</t>
  </si>
  <si>
    <t>M012412001</t>
  </si>
  <si>
    <t>PR260724ZL01</t>
  </si>
  <si>
    <t>TB370FU</t>
  </si>
  <si>
    <t>M012412002</t>
  </si>
  <si>
    <t>PR241021ZL03</t>
  </si>
  <si>
    <t>M012412003</t>
  </si>
  <si>
    <t>CFT</t>
  </si>
  <si>
    <t>ITEM</t>
  </si>
  <si>
    <t>QTY</t>
  </si>
  <si>
    <t>BRAND</t>
  </si>
  <si>
    <t>MODEL</t>
  </si>
  <si>
    <t>SN</t>
  </si>
  <si>
    <t xml:space="preserve">Celular </t>
  </si>
  <si>
    <t>Lanix</t>
  </si>
  <si>
    <t>X750</t>
  </si>
  <si>
    <t>ZL0202071</t>
  </si>
  <si>
    <t>ZL0202070</t>
  </si>
  <si>
    <t>Codes drill</t>
  </si>
  <si>
    <t>2656-20</t>
  </si>
  <si>
    <t>F26DF203815783</t>
  </si>
  <si>
    <t>ZL0104030</t>
  </si>
  <si>
    <t>2606-20</t>
  </si>
  <si>
    <t>F24DF203815758</t>
  </si>
  <si>
    <t>ZL0104029</t>
  </si>
  <si>
    <t>Wired Scanner 2D</t>
  </si>
  <si>
    <t>Steren</t>
  </si>
  <si>
    <t>COM-597</t>
  </si>
  <si>
    <t>ZL0304002</t>
  </si>
  <si>
    <t>ZL0304003</t>
  </si>
  <si>
    <t>ZL0304001</t>
  </si>
  <si>
    <t>Dispenser tape 4"</t>
  </si>
  <si>
    <t>Uline</t>
  </si>
  <si>
    <t>4"</t>
  </si>
  <si>
    <t>3/2/20221</t>
  </si>
  <si>
    <t>ZL0104021</t>
  </si>
  <si>
    <t>ZL0104020</t>
  </si>
  <si>
    <t>Hand Jack</t>
  </si>
  <si>
    <t>H-1193</t>
  </si>
  <si>
    <t>ZL0104179</t>
  </si>
  <si>
    <t>ZL0104178</t>
  </si>
  <si>
    <t>ZL0104031</t>
  </si>
  <si>
    <t>OHAUS</t>
  </si>
  <si>
    <t>Defender T32XW</t>
  </si>
  <si>
    <t>C148059438</t>
  </si>
  <si>
    <t>ZL0103024</t>
  </si>
  <si>
    <t>C139661196</t>
  </si>
  <si>
    <t>ZL0103023</t>
  </si>
  <si>
    <t>Label printer</t>
  </si>
  <si>
    <t>MX640P</t>
  </si>
  <si>
    <t>MX619350034</t>
  </si>
  <si>
    <t>ZL0202193</t>
  </si>
  <si>
    <t>MX619350033</t>
  </si>
  <si>
    <t>ZL0202191</t>
  </si>
  <si>
    <t>Laser Printer</t>
  </si>
  <si>
    <t>Brother</t>
  </si>
  <si>
    <t>HL-6200DW</t>
  </si>
  <si>
    <t>U64180K1N474179</t>
  </si>
  <si>
    <t>ZL0202254</t>
  </si>
  <si>
    <t>U64180J1N441703</t>
  </si>
  <si>
    <t>ZL0202253</t>
  </si>
  <si>
    <t>Multifuntional Printer</t>
  </si>
  <si>
    <t>HP LASERJET</t>
  </si>
  <si>
    <t>M283FDW</t>
  </si>
  <si>
    <t>VNBRP4T5BK</t>
  </si>
  <si>
    <t>ZL0202323</t>
  </si>
  <si>
    <t>Power suplly</t>
  </si>
  <si>
    <t>ASG</t>
  </si>
  <si>
    <t>CLT-60</t>
  </si>
  <si>
    <t>CL2221003151</t>
  </si>
  <si>
    <t>ZL0104142</t>
  </si>
  <si>
    <t>C2221003187</t>
  </si>
  <si>
    <t>Scanner portable bluetooth</t>
  </si>
  <si>
    <t>Eyoyo</t>
  </si>
  <si>
    <t>ZL0104024</t>
  </si>
  <si>
    <t>ZL0104023</t>
  </si>
  <si>
    <t>TL-6500 ESD</t>
  </si>
  <si>
    <t>ZL0104141</t>
  </si>
  <si>
    <t>ZL0104140</t>
  </si>
  <si>
    <t>Strapping dispenser</t>
  </si>
  <si>
    <t>ZL0104019</t>
  </si>
  <si>
    <t>Cipher Lab</t>
  </si>
  <si>
    <t>RS31</t>
  </si>
  <si>
    <t>FG118BD011803</t>
  </si>
  <si>
    <t>ZL0202267</t>
  </si>
  <si>
    <t>FG1176D001564</t>
  </si>
  <si>
    <t>ZL0202266</t>
  </si>
  <si>
    <t>FG1176D001929</t>
  </si>
  <si>
    <t>ZL0202265</t>
  </si>
  <si>
    <t>FG1199D008815</t>
  </si>
  <si>
    <t>ZL0202263</t>
  </si>
  <si>
    <t>Wired heat gun</t>
  </si>
  <si>
    <t>ULINE</t>
  </si>
  <si>
    <t>H-915</t>
  </si>
  <si>
    <t>ZL0104022</t>
  </si>
  <si>
    <t>No funciona</t>
  </si>
  <si>
    <t>MAKITA</t>
  </si>
  <si>
    <t>HG6031V</t>
  </si>
  <si>
    <t>2309-230906292</t>
  </si>
  <si>
    <t>ZL0104184</t>
  </si>
  <si>
    <t>WH0103023</t>
  </si>
  <si>
    <t>Plier</t>
  </si>
  <si>
    <t>24"</t>
  </si>
  <si>
    <t>ZL0104155</t>
  </si>
  <si>
    <t>Flexometer</t>
  </si>
  <si>
    <t>H-1766</t>
  </si>
  <si>
    <t>ZL0104153</t>
  </si>
  <si>
    <t>ZL0104154</t>
  </si>
  <si>
    <t>Heavy duty Tacker</t>
  </si>
  <si>
    <t>BOSTITCH</t>
  </si>
  <si>
    <t>T6-8</t>
  </si>
  <si>
    <t>ZL0104156</t>
  </si>
  <si>
    <t>Cable cutting pliers</t>
  </si>
  <si>
    <t>ZL0104157</t>
  </si>
  <si>
    <t>ZL0104158</t>
  </si>
  <si>
    <t>Industrial strap tensioner</t>
  </si>
  <si>
    <t>ZL0104159</t>
  </si>
  <si>
    <t>Industrial strap sealer</t>
  </si>
  <si>
    <t>ZL0104160</t>
  </si>
  <si>
    <t>Laptop</t>
  </si>
  <si>
    <t>Lenovo</t>
  </si>
  <si>
    <t>Thinkpad L15 G1</t>
  </si>
  <si>
    <t>1S20U4S53400PF2GVDFE</t>
  </si>
  <si>
    <t>ZL0202251</t>
  </si>
  <si>
    <t>1S20U4S53400PF2GVVDJ</t>
  </si>
  <si>
    <t>ZL0202250</t>
  </si>
  <si>
    <t>1S20U4S53400PF2GW633</t>
  </si>
  <si>
    <t>ZL0202252</t>
  </si>
  <si>
    <t>1S20U4S53400PF357YPY</t>
  </si>
  <si>
    <t>ZL0202343</t>
  </si>
  <si>
    <t>1S20U4S53400PF36BZSJ</t>
  </si>
  <si>
    <t>ZL0202344</t>
  </si>
  <si>
    <t>1S20U4S86R00PF356EZ5</t>
  </si>
  <si>
    <t>ZL0202345</t>
  </si>
  <si>
    <t>1S20U4S86R00PF357VEZ</t>
  </si>
  <si>
    <t>ZL0202346</t>
  </si>
  <si>
    <t>V14-ARE</t>
  </si>
  <si>
    <t>PF389JZP</t>
  </si>
  <si>
    <t>ZL4483049</t>
  </si>
  <si>
    <t>Keyboard damaged</t>
  </si>
  <si>
    <t>PF389RKF</t>
  </si>
  <si>
    <t>ZL4483047</t>
  </si>
  <si>
    <t>PF389RLA</t>
  </si>
  <si>
    <t>ZL4483048</t>
  </si>
  <si>
    <t>PF38RPA1</t>
  </si>
  <si>
    <t>ZL4483046</t>
  </si>
  <si>
    <t>V14 G2 ALC</t>
  </si>
  <si>
    <t>SPF3AH4Z6</t>
  </si>
  <si>
    <t>ZL0202347</t>
  </si>
  <si>
    <t>SPF3AGRLY</t>
  </si>
  <si>
    <t>ZL0202348</t>
  </si>
  <si>
    <t>SPF3AGRNG</t>
  </si>
  <si>
    <t>ZL0202349</t>
  </si>
  <si>
    <t>SPF3AHNMA</t>
  </si>
  <si>
    <t>ZL0202350</t>
  </si>
  <si>
    <t>SPF3AJ7WX</t>
  </si>
  <si>
    <t>ZL0202351</t>
  </si>
  <si>
    <t>SPF3AJD58</t>
  </si>
  <si>
    <t>ZL0202352</t>
  </si>
  <si>
    <t>PF3W51EJ</t>
  </si>
  <si>
    <t>ZL0202353</t>
  </si>
  <si>
    <t>PF3V37HH</t>
  </si>
  <si>
    <t>ZL0202354</t>
  </si>
  <si>
    <t>Location</t>
  </si>
  <si>
    <t>FROMM</t>
  </si>
  <si>
    <t>0119753</t>
  </si>
  <si>
    <t>0113540</t>
  </si>
  <si>
    <t>Base MIR</t>
  </si>
  <si>
    <t>Shelft</t>
  </si>
  <si>
    <t>Bin</t>
  </si>
  <si>
    <t>Otawa</t>
  </si>
  <si>
    <t xml:space="preserve">62 X 42 X 20 cm </t>
  </si>
  <si>
    <t xml:space="preserve">62 X 42 X 28 cm </t>
  </si>
  <si>
    <t xml:space="preserve">Gaveta N.9 </t>
  </si>
  <si>
    <t>50 X 31 X 20 cm</t>
  </si>
  <si>
    <t>Transparent container</t>
  </si>
  <si>
    <t>46 x 28 x 18</t>
  </si>
  <si>
    <t>Cable cutter</t>
  </si>
  <si>
    <t>M12 600 MCM</t>
  </si>
  <si>
    <t>E21CE241200021</t>
  </si>
  <si>
    <t>Nelida</t>
  </si>
  <si>
    <t>25/09/2024</t>
  </si>
  <si>
    <t xml:space="preserve">Case for PDA </t>
  </si>
  <si>
    <t>CipherLab</t>
  </si>
  <si>
    <t>Chainway</t>
  </si>
  <si>
    <t>C66</t>
  </si>
  <si>
    <t>Charge- Plate Monitor</t>
  </si>
  <si>
    <t>Kleinwächter</t>
  </si>
  <si>
    <t>CPM 374</t>
  </si>
  <si>
    <t>Cleaning carts</t>
  </si>
  <si>
    <t>Rubbermaid</t>
  </si>
  <si>
    <t>FG17388BLA</t>
  </si>
  <si>
    <t>Codes Drill</t>
  </si>
  <si>
    <t>Makita</t>
  </si>
  <si>
    <t>DDF-453</t>
  </si>
  <si>
    <t>0889950</t>
  </si>
  <si>
    <t xml:space="preserve">SCRAP BOX </t>
  </si>
  <si>
    <t>DAMAGED</t>
  </si>
  <si>
    <t>DDF-456</t>
  </si>
  <si>
    <t>Portecable</t>
  </si>
  <si>
    <t>PCC601</t>
  </si>
  <si>
    <t>2017-50-BM</t>
  </si>
  <si>
    <t>2017-46-BM</t>
  </si>
  <si>
    <t>Bosch</t>
  </si>
  <si>
    <t>GDR 18-2-LI</t>
  </si>
  <si>
    <t>2407-20</t>
  </si>
  <si>
    <t>F10AD161816337</t>
  </si>
  <si>
    <t>F10AD161406491</t>
  </si>
  <si>
    <t>F10AD163603067</t>
  </si>
  <si>
    <t>F25DF203603053</t>
  </si>
  <si>
    <t>2607-20</t>
  </si>
  <si>
    <t>F25DF203600809</t>
  </si>
  <si>
    <t>Compact circular saw</t>
  </si>
  <si>
    <t>7.1/4 15 AMP</t>
  </si>
  <si>
    <t>983FD204700022</t>
  </si>
  <si>
    <t>Compresor</t>
  </si>
  <si>
    <t>Surtek</t>
  </si>
  <si>
    <t>25 LT</t>
  </si>
  <si>
    <t>CORDLESS BLOWER</t>
  </si>
  <si>
    <t>HITACHI</t>
  </si>
  <si>
    <t>RB-18DSL</t>
  </si>
  <si>
    <t>N770474</t>
  </si>
  <si>
    <t>N770473</t>
  </si>
  <si>
    <t>N770416</t>
  </si>
  <si>
    <t>Cordless heat gun</t>
  </si>
  <si>
    <t xml:space="preserve">Compact 18V </t>
  </si>
  <si>
    <t>J15AB221913219A</t>
  </si>
  <si>
    <t>J15AB221913236A</t>
  </si>
  <si>
    <t>PRULDE</t>
  </si>
  <si>
    <t>NHG0140-18</t>
  </si>
  <si>
    <t>J15AB232607452A</t>
  </si>
  <si>
    <t>HR260</t>
  </si>
  <si>
    <t>HER260</t>
  </si>
  <si>
    <t>Cordless Scanner</t>
  </si>
  <si>
    <t>COM-598</t>
  </si>
  <si>
    <t>BOX 1 TOOLROOM</t>
  </si>
  <si>
    <t>Cordless Scanner 2D</t>
  </si>
  <si>
    <t>Zebra</t>
  </si>
  <si>
    <t>DS2278</t>
  </si>
  <si>
    <t>DS8178</t>
  </si>
  <si>
    <t>Newland</t>
  </si>
  <si>
    <t xml:space="preserve">NLS-HR3280 </t>
  </si>
  <si>
    <t>SCRAP BOX</t>
  </si>
  <si>
    <t>HR3280-BT-AD03269</t>
  </si>
  <si>
    <t>HR3280-BT-AD03270</t>
  </si>
  <si>
    <t>HR3280-BT-AD03262</t>
  </si>
  <si>
    <t>HR3280-BT-AD03261</t>
  </si>
  <si>
    <t>HR3280-BT-AD03263</t>
  </si>
  <si>
    <t>GHIA</t>
  </si>
  <si>
    <t>GS2DB1</t>
  </si>
  <si>
    <t>S1137C-780200120</t>
  </si>
  <si>
    <t>S1137C-780200110</t>
  </si>
  <si>
    <t>S1137C-780200219</t>
  </si>
  <si>
    <t>S1137C-780200241</t>
  </si>
  <si>
    <t>S1137C-780200123</t>
  </si>
  <si>
    <t>S1137C-780200233</t>
  </si>
  <si>
    <t>S1137C-780400S17</t>
  </si>
  <si>
    <t>S1137C-780200250S</t>
  </si>
  <si>
    <t>S1137C-780200159</t>
  </si>
  <si>
    <t>S1137C-780200118</t>
  </si>
  <si>
    <t>S1137C-780200155</t>
  </si>
  <si>
    <t>S1137C-780200248S</t>
  </si>
  <si>
    <t>Wired scanner line</t>
  </si>
  <si>
    <t>HONEYWELL</t>
  </si>
  <si>
    <t>Voyager 1202g</t>
  </si>
  <si>
    <t>23011N0344</t>
  </si>
  <si>
    <t>23011N0346</t>
  </si>
  <si>
    <t>23006N045F</t>
  </si>
  <si>
    <t>23040N01AE</t>
  </si>
  <si>
    <t>23040N00A0</t>
  </si>
  <si>
    <t>DIFFERENT</t>
  </si>
  <si>
    <t>Actek</t>
  </si>
  <si>
    <t>INTEGRA Mid-ATX Tower</t>
  </si>
  <si>
    <t>HP</t>
  </si>
  <si>
    <t>PRO DESK 40G4</t>
  </si>
  <si>
    <t>MXL8071KKR</t>
  </si>
  <si>
    <t>ACER</t>
  </si>
  <si>
    <t>Veriton X2660G/MO34</t>
  </si>
  <si>
    <t>DTVQWAL006828036843000</t>
  </si>
  <si>
    <t>DTVQWAL006828036713000</t>
  </si>
  <si>
    <t>MXL8071CH9</t>
  </si>
  <si>
    <t>DTVQWAL006828037023000</t>
  </si>
  <si>
    <t>DTVQWAL006828036833000</t>
  </si>
  <si>
    <t>DTVQWAL006828036783000</t>
  </si>
  <si>
    <t>DTVQWAL006828036E13000</t>
  </si>
  <si>
    <t>DTVQWAL006828036F33000</t>
  </si>
  <si>
    <t>DTVQWAL006828036C63000</t>
  </si>
  <si>
    <t>DTVQWAL006828036FD3000</t>
  </si>
  <si>
    <t>DTVQWAL006828036F83000</t>
  </si>
  <si>
    <t>DTVQWAL006828036B03000</t>
  </si>
  <si>
    <t>DTVQWAL006828036DE3000</t>
  </si>
  <si>
    <t>MXL8071CJZ</t>
  </si>
  <si>
    <t>MXL8071CJW</t>
  </si>
  <si>
    <t>MXL8071KNF</t>
  </si>
  <si>
    <t>MXL8071CKL</t>
  </si>
  <si>
    <t>MXL8071CK7</t>
  </si>
  <si>
    <t>MXL8071CJ1</t>
  </si>
  <si>
    <t>MXL8071CK9</t>
  </si>
  <si>
    <t>DTVQWAL006828036633000</t>
  </si>
  <si>
    <t>DTVQWAL006828036FF3000</t>
  </si>
  <si>
    <t>DTVQWAL006828036743000</t>
  </si>
  <si>
    <t>DTVQWAL006828036C83000</t>
  </si>
  <si>
    <t>DTVQWAL006828036643000</t>
  </si>
  <si>
    <t>DTVQWAL006828036BB3000</t>
  </si>
  <si>
    <t>DTVQWAL006828036623000</t>
  </si>
  <si>
    <t>DTVQWAL006828036723000</t>
  </si>
  <si>
    <t>DTVQWAL006828036FC3000</t>
  </si>
  <si>
    <t>DTVQWAL006828037083000</t>
  </si>
  <si>
    <t>DTVQWAL006828036773000</t>
  </si>
  <si>
    <t>DTVQWAL006828036603000</t>
  </si>
  <si>
    <t>DTVQWAL0068280367B3000</t>
  </si>
  <si>
    <t>DTVQWAL006828036663000</t>
  </si>
  <si>
    <t>DTVQWAL006828036DC3000</t>
  </si>
  <si>
    <t>DTVQWAL006828036D43000</t>
  </si>
  <si>
    <t>DTVQWAL006828036FE3000</t>
  </si>
  <si>
    <t>DTVQWAL0068280366F3000</t>
  </si>
  <si>
    <t>MXL8071CKK</t>
  </si>
  <si>
    <t>DTVQWAL006828036753000</t>
  </si>
  <si>
    <t>DTVQWAL006828036E83000</t>
  </si>
  <si>
    <t>DTVQWAL006828037133000</t>
  </si>
  <si>
    <t>DTVQWAL006828036703000</t>
  </si>
  <si>
    <t>DTVQWAL0068280367F3000</t>
  </si>
  <si>
    <t>DTVQWAL006828036FA3000</t>
  </si>
  <si>
    <t>DTVQWAL006828036683000</t>
  </si>
  <si>
    <t>DTVQWAL006828037073000</t>
  </si>
  <si>
    <t>DTVQWAL006828036AD3000</t>
  </si>
  <si>
    <t>DTVQWAL006828036C53000</t>
  </si>
  <si>
    <t>DTVQWAL006828036ED3000</t>
  </si>
  <si>
    <t>Digital Camera</t>
  </si>
  <si>
    <t>FUJIFILM</t>
  </si>
  <si>
    <t>XP130</t>
  </si>
  <si>
    <t>8WD05560</t>
  </si>
  <si>
    <t>8WD05786</t>
  </si>
  <si>
    <t>8WD05558</t>
  </si>
  <si>
    <t>8WD05559</t>
  </si>
  <si>
    <t>8WD05555</t>
  </si>
  <si>
    <t>Digital Vernier big</t>
  </si>
  <si>
    <t>A18219999</t>
  </si>
  <si>
    <t>Distance laser meter</t>
  </si>
  <si>
    <t>SATA</t>
  </si>
  <si>
    <t>S0871000491</t>
  </si>
  <si>
    <t>Drill hard cable</t>
  </si>
  <si>
    <t>DW508S-B3</t>
  </si>
  <si>
    <t>Elektro Feld Meter</t>
  </si>
  <si>
    <t>EFM-022</t>
  </si>
  <si>
    <t>Ground Resistance Tester</t>
  </si>
  <si>
    <t>KYORITSU</t>
  </si>
  <si>
    <t>KEW 4105A</t>
  </si>
  <si>
    <t>E8265163</t>
  </si>
  <si>
    <t>hacksaw</t>
  </si>
  <si>
    <t>16oz</t>
  </si>
  <si>
    <t xml:space="preserve">Hand Jack </t>
  </si>
  <si>
    <t>New line</t>
  </si>
  <si>
    <t>Angosta</t>
  </si>
  <si>
    <t>WTC</t>
  </si>
  <si>
    <t>Ancha</t>
  </si>
  <si>
    <t>Hand jack for cable</t>
  </si>
  <si>
    <t>Multilift</t>
  </si>
  <si>
    <t>Cable</t>
  </si>
  <si>
    <t>Hand sanitizer dispenser</t>
  </si>
  <si>
    <t>H-9416</t>
  </si>
  <si>
    <t>HMDI spliter</t>
  </si>
  <si>
    <t>BOS-404</t>
  </si>
  <si>
    <t>TER-150</t>
  </si>
  <si>
    <t>BOX 3 TOOLROOM</t>
  </si>
  <si>
    <t>SysTec</t>
  </si>
  <si>
    <t>IT3-AC</t>
  </si>
  <si>
    <t>Insulation Tester</t>
  </si>
  <si>
    <t>Megger</t>
  </si>
  <si>
    <t>MIT481/2</t>
  </si>
  <si>
    <t>Keyboards wireless</t>
  </si>
  <si>
    <t>K400+</t>
  </si>
  <si>
    <t>1806SCF0C288</t>
  </si>
  <si>
    <t>1806SCF0C1C8</t>
  </si>
  <si>
    <t>1734SCF08HW8</t>
  </si>
  <si>
    <t>1736SCF0MLR8</t>
  </si>
  <si>
    <t>K600</t>
  </si>
  <si>
    <t>2045SCR004J8</t>
  </si>
  <si>
    <t>2045SCR004W8</t>
  </si>
  <si>
    <t>2121SCR000U8</t>
  </si>
  <si>
    <t>2121SCR000Z8</t>
  </si>
  <si>
    <t>1806SCF0BTH8</t>
  </si>
  <si>
    <t>1734SCF07CQ8</t>
  </si>
  <si>
    <t>1829SCF0MGU8</t>
  </si>
  <si>
    <t>1736SCF0MG38</t>
  </si>
  <si>
    <t>2045SCR004N8</t>
  </si>
  <si>
    <t>2121SCR00118</t>
  </si>
  <si>
    <t>2045SCR004P8</t>
  </si>
  <si>
    <t>Small Label printer</t>
  </si>
  <si>
    <t>BRADY</t>
  </si>
  <si>
    <t>M210</t>
  </si>
  <si>
    <t>PGM2102208901015</t>
  </si>
  <si>
    <t>MX619350040</t>
  </si>
  <si>
    <t>ZT610</t>
  </si>
  <si>
    <t>71J181804995</t>
  </si>
  <si>
    <t>71J181804987</t>
  </si>
  <si>
    <t>71J181804986</t>
  </si>
  <si>
    <t>MX619300255</t>
  </si>
  <si>
    <t>MX619350039</t>
  </si>
  <si>
    <t>MX619350038</t>
  </si>
  <si>
    <t>MX619300256</t>
  </si>
  <si>
    <t>MX619300258</t>
  </si>
  <si>
    <t>MX619350035</t>
  </si>
  <si>
    <t>MX619300248</t>
  </si>
  <si>
    <t>MX619300250</t>
  </si>
  <si>
    <t>MX619300253</t>
  </si>
  <si>
    <t>MX619350036</t>
  </si>
  <si>
    <t>MX619350037</t>
  </si>
  <si>
    <t>MX619300247</t>
  </si>
  <si>
    <t>MX619300259</t>
  </si>
  <si>
    <t>MX619300249</t>
  </si>
  <si>
    <t>MX619300254</t>
  </si>
  <si>
    <t>MX619300251</t>
  </si>
  <si>
    <t>MX619300252</t>
  </si>
  <si>
    <t>MX619300261</t>
  </si>
  <si>
    <t>MX619300260</t>
  </si>
  <si>
    <t>MX619300257</t>
  </si>
  <si>
    <t>DELL</t>
  </si>
  <si>
    <t>1ZQ81LA#ABM</t>
  </si>
  <si>
    <t>Asus</t>
  </si>
  <si>
    <t>A407UA-BV395R</t>
  </si>
  <si>
    <t>JCN0GR06102151E</t>
  </si>
  <si>
    <t>JCN0GR060665519</t>
  </si>
  <si>
    <t>JAN0GR05C753439</t>
  </si>
  <si>
    <t>JCN0GR06026851B</t>
  </si>
  <si>
    <t>JAN0GR05C717432</t>
  </si>
  <si>
    <t>JCN0GR060223519</t>
  </si>
  <si>
    <t>JCR0GR060558517</t>
  </si>
  <si>
    <t>JCN0GR06026651D</t>
  </si>
  <si>
    <t>JCN0GR060819512</t>
  </si>
  <si>
    <t>JCN0GR06013551H</t>
  </si>
  <si>
    <t>JCN0GR060460514</t>
  </si>
  <si>
    <t>JAN0GR05C86843B</t>
  </si>
  <si>
    <t>JCN0GR06022951B</t>
  </si>
  <si>
    <t>JCN0GR06029651C</t>
  </si>
  <si>
    <t>JAN0GR05C63343D</t>
  </si>
  <si>
    <t>JAN0GR05C84643H</t>
  </si>
  <si>
    <t>JCN0GR060336511</t>
  </si>
  <si>
    <t>JCN0GR060797514</t>
  </si>
  <si>
    <t>JCN0GR06069451D</t>
  </si>
  <si>
    <t>JCN0GR060737514</t>
  </si>
  <si>
    <t>JCN0GR060803513</t>
  </si>
  <si>
    <t>JCN0GR060618513</t>
  </si>
  <si>
    <t>JCN0GR060846517</t>
  </si>
  <si>
    <t>JCN0GR002840486</t>
  </si>
  <si>
    <t>JCN0GR06016251B</t>
  </si>
  <si>
    <t>JCN0GR061033518</t>
  </si>
  <si>
    <t>JAN0GR05C656438</t>
  </si>
  <si>
    <t>JCN0GR060829516</t>
  </si>
  <si>
    <t>JCN0GR060480516</t>
  </si>
  <si>
    <t>JCN0GR060926515</t>
  </si>
  <si>
    <t>JCN0GR060239514</t>
  </si>
  <si>
    <t>JAN0GR05C904439</t>
  </si>
  <si>
    <t>U64180D9N492050</t>
  </si>
  <si>
    <t>U64180G8N172575</t>
  </si>
  <si>
    <t>U64180G8N172606</t>
  </si>
  <si>
    <t>U64180D9N492046</t>
  </si>
  <si>
    <t>U64180D9N492061</t>
  </si>
  <si>
    <t>CE991A</t>
  </si>
  <si>
    <t>CNDCH2W098</t>
  </si>
  <si>
    <t>G3Q47A</t>
  </si>
  <si>
    <t>VNB5D36603</t>
  </si>
  <si>
    <t>VND3B23862</t>
  </si>
  <si>
    <t>HL-1212W</t>
  </si>
  <si>
    <t>U63982F0N665974</t>
  </si>
  <si>
    <t>U64180G8N172596</t>
  </si>
  <si>
    <t>U64180D9N492095</t>
  </si>
  <si>
    <t>U64180G8N172548</t>
  </si>
  <si>
    <t>U64180G8N172637</t>
  </si>
  <si>
    <t>U64180D9N492106</t>
  </si>
  <si>
    <t>U64180G8N172587</t>
  </si>
  <si>
    <t>NU-Lift</t>
  </si>
  <si>
    <t>E150</t>
  </si>
  <si>
    <t>S202212472</t>
  </si>
  <si>
    <t>MECHANIC PLIERS</t>
  </si>
  <si>
    <t>KNIPEX</t>
  </si>
  <si>
    <t>Meter</t>
  </si>
  <si>
    <t>Westcoot</t>
  </si>
  <si>
    <t>YMS-1</t>
  </si>
  <si>
    <t>Monitor</t>
  </si>
  <si>
    <t xml:space="preserve">Monitor </t>
  </si>
  <si>
    <t>AD80HW</t>
  </si>
  <si>
    <t>GSXUN21A29005674</t>
  </si>
  <si>
    <t>GSXUN21A29008330</t>
  </si>
  <si>
    <t>GSXUN21A29004749</t>
  </si>
  <si>
    <t>GSXUN21A29005346</t>
  </si>
  <si>
    <t>LV1911</t>
  </si>
  <si>
    <t>6CM4341YXK</t>
  </si>
  <si>
    <t>LE1901W</t>
  </si>
  <si>
    <t>CNC037P6DQ</t>
  </si>
  <si>
    <t>Vorago</t>
  </si>
  <si>
    <t>LED W15 200</t>
  </si>
  <si>
    <t>VP239</t>
  </si>
  <si>
    <t>K4LMTJ015838</t>
  </si>
  <si>
    <t>6CM4341YXL</t>
  </si>
  <si>
    <t>GSXUN21A29005664</t>
  </si>
  <si>
    <t>6CM4292D54</t>
  </si>
  <si>
    <t>6CM4280TP6</t>
  </si>
  <si>
    <t>6CM42022NQ</t>
  </si>
  <si>
    <t>6CM427191S</t>
  </si>
  <si>
    <t>K4LMTJ015845</t>
  </si>
  <si>
    <t>V193b</t>
  </si>
  <si>
    <t>3CQ5044X72</t>
  </si>
  <si>
    <t>6CM434204M</t>
  </si>
  <si>
    <t>6CM42022NS</t>
  </si>
  <si>
    <t>6CM420243X</t>
  </si>
  <si>
    <t>K4LMTJ015671</t>
  </si>
  <si>
    <t>6CM4280SQS</t>
  </si>
  <si>
    <t>6CM427191Z</t>
  </si>
  <si>
    <t>LED-W15-200</t>
  </si>
  <si>
    <t>3CQ5140D1C</t>
  </si>
  <si>
    <t>PA248QV 24"</t>
  </si>
  <si>
    <t>V206HQL</t>
  </si>
  <si>
    <t>MMLY6AM0018500AB8E8509</t>
  </si>
  <si>
    <t>MMLY6AM00185004A478509</t>
  </si>
  <si>
    <t>MMLY6AM00185004A4A8509</t>
  </si>
  <si>
    <t>MMLY6AM0018500B0662509</t>
  </si>
  <si>
    <t>MMLY6AM0018500B0788509</t>
  </si>
  <si>
    <t>MMLY6AM001850044A98509</t>
  </si>
  <si>
    <t>MMLY6AM0018500AB978509</t>
  </si>
  <si>
    <t>MMLY6AM00185004A498509</t>
  </si>
  <si>
    <t>MMLY6AM001850044C98509</t>
  </si>
  <si>
    <t>MMLY6AM00185004A4E8509</t>
  </si>
  <si>
    <t>MMLY6AM0018500AB9F8509</t>
  </si>
  <si>
    <t>MMLY6AM001850044A88509</t>
  </si>
  <si>
    <t>Mototool</t>
  </si>
  <si>
    <t>Dremel</t>
  </si>
  <si>
    <t>Kyocera</t>
  </si>
  <si>
    <t>ECOSYS FS-1025MFP</t>
  </si>
  <si>
    <t>R7N1000378</t>
  </si>
  <si>
    <t>EPSON</t>
  </si>
  <si>
    <t>L3150</t>
  </si>
  <si>
    <t>X5E8035028</t>
  </si>
  <si>
    <t>VNBRRCW089</t>
  </si>
  <si>
    <t>No break</t>
  </si>
  <si>
    <t>Koblenz</t>
  </si>
  <si>
    <t>5216 R</t>
  </si>
  <si>
    <t>21-09-04616</t>
  </si>
  <si>
    <t>21-09-04615</t>
  </si>
  <si>
    <t>21-09-04613</t>
  </si>
  <si>
    <t>21-09-04754</t>
  </si>
  <si>
    <t>21-09-04753</t>
  </si>
  <si>
    <t>21-09-04614</t>
  </si>
  <si>
    <t>NVR</t>
  </si>
  <si>
    <t>Pad light</t>
  </si>
  <si>
    <t>Fostoria</t>
  </si>
  <si>
    <t>DKL-INC</t>
  </si>
  <si>
    <t>Particule counter</t>
  </si>
  <si>
    <t>Horni Aireclean Tech</t>
  </si>
  <si>
    <t>CLJ-BII</t>
  </si>
  <si>
    <t>C2918015</t>
  </si>
  <si>
    <t>HC660BA230801162</t>
  </si>
  <si>
    <t>HC660BA230801169</t>
  </si>
  <si>
    <t>HC660BA200200039</t>
  </si>
  <si>
    <t>HC660BA221100079</t>
  </si>
  <si>
    <t>HC660BA221100078</t>
  </si>
  <si>
    <t>FG1197D007728</t>
  </si>
  <si>
    <t>FG1196D006189</t>
  </si>
  <si>
    <t>BOX 7 TOOLROOM</t>
  </si>
  <si>
    <t>FG1196D006216</t>
  </si>
  <si>
    <t>FG1197D007572</t>
  </si>
  <si>
    <t>FG1197D007617</t>
  </si>
  <si>
    <t>FG1196D006133</t>
  </si>
  <si>
    <t>FG1197D007564</t>
  </si>
  <si>
    <t>FG1197D007500</t>
  </si>
  <si>
    <t>FG1196D006128</t>
  </si>
  <si>
    <t>FG1195D004981</t>
  </si>
  <si>
    <t>SHIPPING</t>
  </si>
  <si>
    <t>FG1207D004885</t>
  </si>
  <si>
    <t>FG1207D005155</t>
  </si>
  <si>
    <t>FG1197D007670</t>
  </si>
  <si>
    <t>FG1207D005069</t>
  </si>
  <si>
    <t>RECEIVE</t>
  </si>
  <si>
    <t>FG1197D007506</t>
  </si>
  <si>
    <t>FG1197D007925</t>
  </si>
  <si>
    <t>FG1196D006096</t>
  </si>
  <si>
    <t>FG1196D006127</t>
  </si>
  <si>
    <t>FG1207D005119</t>
  </si>
  <si>
    <t>FG1197D007587</t>
  </si>
  <si>
    <t>FG1196D006205</t>
  </si>
  <si>
    <t>FG1176D001281</t>
  </si>
  <si>
    <t>FG1196D007586</t>
  </si>
  <si>
    <t>FG1196D007784</t>
  </si>
  <si>
    <t>FG1196D006196</t>
  </si>
  <si>
    <t>FG1196D006132</t>
  </si>
  <si>
    <t>FG1197D007788</t>
  </si>
  <si>
    <t>FG1197D007559</t>
  </si>
  <si>
    <t>FG1197D007555</t>
  </si>
  <si>
    <t>FG1197D007517</t>
  </si>
  <si>
    <t>FG1207D004880</t>
  </si>
  <si>
    <t>FG1196D006109</t>
  </si>
  <si>
    <t>FG1197D007577</t>
  </si>
  <si>
    <t>FG1197D007498</t>
  </si>
  <si>
    <t>FG1177D002010</t>
  </si>
  <si>
    <t>FG1197D007397</t>
  </si>
  <si>
    <t>FG1197D007499</t>
  </si>
  <si>
    <t>FG1197D007571</t>
  </si>
  <si>
    <t>SURTEK</t>
  </si>
  <si>
    <t>Casa de la bascula</t>
  </si>
  <si>
    <t>CUPRUM</t>
  </si>
  <si>
    <t>C-2012-02N (2s)</t>
  </si>
  <si>
    <t>Werner</t>
  </si>
  <si>
    <t>6 steps aluminium</t>
  </si>
  <si>
    <t>Poolishing tool</t>
  </si>
  <si>
    <t>Stanley</t>
  </si>
  <si>
    <t>STEL-401</t>
  </si>
  <si>
    <t xml:space="preserve">Power supplier </t>
  </si>
  <si>
    <t>C1914001351</t>
  </si>
  <si>
    <t>C1914001321</t>
  </si>
  <si>
    <t>C1914001350</t>
  </si>
  <si>
    <t>C1914001319</t>
  </si>
  <si>
    <t>C1914001361</t>
  </si>
  <si>
    <t>C1914001331</t>
  </si>
  <si>
    <t>C1914001359</t>
  </si>
  <si>
    <t>C1914001334</t>
  </si>
  <si>
    <t>C1914001332</t>
  </si>
  <si>
    <t>C1914001322</t>
  </si>
  <si>
    <t>Printer label</t>
  </si>
  <si>
    <t>ALPHA-4L-D-W</t>
  </si>
  <si>
    <t>A4L18230002</t>
  </si>
  <si>
    <t>A4L18230003</t>
  </si>
  <si>
    <t>A4L18230006</t>
  </si>
  <si>
    <t>A4L18230005</t>
  </si>
  <si>
    <t>A4L17190030</t>
  </si>
  <si>
    <t>A4L18230007</t>
  </si>
  <si>
    <t>A4L17190004</t>
  </si>
  <si>
    <t>A4L17190026</t>
  </si>
  <si>
    <t>Printer wiegh label</t>
  </si>
  <si>
    <t>TTP-244CE</t>
  </si>
  <si>
    <t>T4E19070365</t>
  </si>
  <si>
    <t>T4E19240199</t>
  </si>
  <si>
    <t>T4E19240189</t>
  </si>
  <si>
    <t>T4E19240190</t>
  </si>
  <si>
    <t>T4E20020314</t>
  </si>
  <si>
    <t>T4E20020304</t>
  </si>
  <si>
    <t>Ratcheting strap</t>
  </si>
  <si>
    <t>Truper</t>
  </si>
  <si>
    <t>Resistentivity meter</t>
  </si>
  <si>
    <t>ACL Staticide</t>
  </si>
  <si>
    <t>Rooling tool seat</t>
  </si>
  <si>
    <t>H-7335</t>
  </si>
  <si>
    <t>PX-20</t>
  </si>
  <si>
    <t>CARLOS SUPERVISOR POC</t>
  </si>
  <si>
    <t>CL-6500</t>
  </si>
  <si>
    <t>Sierra Caladora</t>
  </si>
  <si>
    <t>DW300-B3</t>
  </si>
  <si>
    <t>2019 09-58-61</t>
  </si>
  <si>
    <t>Soldier gun</t>
  </si>
  <si>
    <t>Weller</t>
  </si>
  <si>
    <t>D550</t>
  </si>
  <si>
    <t>Strap for lifter</t>
  </si>
  <si>
    <t>Inkar</t>
  </si>
  <si>
    <t>Negra</t>
  </si>
  <si>
    <t>Azul</t>
  </si>
  <si>
    <t>TABLET</t>
  </si>
  <si>
    <t>Trash car container</t>
  </si>
  <si>
    <t>1/2 CU</t>
  </si>
  <si>
    <t>28/11/2019</t>
  </si>
  <si>
    <t>Unwinder cable circle plataform</t>
  </si>
  <si>
    <t>Runpotec</t>
  </si>
  <si>
    <t>XB500</t>
  </si>
  <si>
    <t>Unwinder cable tool</t>
  </si>
  <si>
    <t>1000 kg</t>
  </si>
  <si>
    <t>UPS</t>
  </si>
  <si>
    <t>Cyberpower</t>
  </si>
  <si>
    <t>EPU2000RTOL2U</t>
  </si>
  <si>
    <t>GA1KY2000013</t>
  </si>
  <si>
    <t>GA1KX2000032</t>
  </si>
  <si>
    <t>GA1KX2000052</t>
  </si>
  <si>
    <t>GA1KX2000068</t>
  </si>
  <si>
    <t>GA1KX2000066</t>
  </si>
  <si>
    <t>GA1KX2000063</t>
  </si>
  <si>
    <t>OLS2000</t>
  </si>
  <si>
    <t>1E50W3000021</t>
  </si>
  <si>
    <t>GA1KX2000070</t>
  </si>
  <si>
    <t>PR3000RT2U</t>
  </si>
  <si>
    <t>Vacuum cleaner hoover</t>
  </si>
  <si>
    <t>RIDGID</t>
  </si>
  <si>
    <t>RV24000</t>
  </si>
  <si>
    <t>18301R160150</t>
  </si>
  <si>
    <t>800001184911B5PW</t>
  </si>
  <si>
    <t>COPOSE</t>
  </si>
  <si>
    <t>Winder cable manual</t>
  </si>
  <si>
    <t>From china</t>
  </si>
  <si>
    <t>Manual</t>
  </si>
  <si>
    <t>Raspberry</t>
  </si>
  <si>
    <t>Grinder</t>
  </si>
  <si>
    <t>2686-20</t>
  </si>
  <si>
    <t>N44AF234605865</t>
  </si>
  <si>
    <t>H&amp;T monitor system</t>
  </si>
  <si>
    <t>MACI</t>
  </si>
  <si>
    <t>Wire stripping pliers</t>
  </si>
  <si>
    <t>Soldeir station</t>
  </si>
  <si>
    <t>CREWORKS</t>
  </si>
  <si>
    <t>CO-Z</t>
  </si>
  <si>
    <t>Wire Crimper</t>
  </si>
  <si>
    <t>Solder Pot</t>
  </si>
  <si>
    <t>XG ASSET</t>
  </si>
  <si>
    <t>Location - Dueño</t>
  </si>
  <si>
    <t>Latitude 3540</t>
  </si>
  <si>
    <t>XNGP0202402</t>
  </si>
  <si>
    <t>XG0202001</t>
  </si>
  <si>
    <t>Victor Hugo Rubio Reyes</t>
  </si>
  <si>
    <t>XNGP0202403</t>
  </si>
  <si>
    <t>XG0202002</t>
  </si>
  <si>
    <t>Cuahutemoc Covarrubias Preciado</t>
  </si>
  <si>
    <t>XNGP0202404</t>
  </si>
  <si>
    <t>XG0202003</t>
  </si>
  <si>
    <t>De La Peña Peñúñuri Carolina</t>
  </si>
  <si>
    <t>XNGP0202405</t>
  </si>
  <si>
    <t>XG0202004</t>
  </si>
  <si>
    <t>Eric Ramon Gutierrez Limón</t>
  </si>
  <si>
    <t>XNGP0202406</t>
  </si>
  <si>
    <t>XG0202005</t>
  </si>
  <si>
    <t>López Covarrubias Ana Isabel
 Bautista López Blanca Estela</t>
  </si>
  <si>
    <t>ThinkCentre neo 50s Gen 4</t>
  </si>
  <si>
    <t>YLT0S3Z1</t>
  </si>
  <si>
    <t>XG0202006</t>
  </si>
  <si>
    <t>Keyword</t>
  </si>
  <si>
    <t>KB203W</t>
  </si>
  <si>
    <t>SMK1N50781</t>
  </si>
  <si>
    <t>XG0202007</t>
  </si>
  <si>
    <t>Mouse</t>
  </si>
  <si>
    <t>MA203W</t>
  </si>
  <si>
    <t>XG0202008</t>
  </si>
  <si>
    <t>ThinkVision E24-29</t>
  </si>
  <si>
    <t>1S63D0MAR3LAVVQ63350</t>
  </si>
  <si>
    <t>XG0202009</t>
  </si>
  <si>
    <t>Power strips</t>
  </si>
  <si>
    <t>30 cm 127 VCA</t>
  </si>
  <si>
    <t>XG0104001</t>
  </si>
  <si>
    <t>Process</t>
  </si>
  <si>
    <t>Electrical extensions</t>
  </si>
  <si>
    <t>10 mts</t>
  </si>
  <si>
    <t>XG0104002</t>
  </si>
  <si>
    <t>USB cable C type</t>
  </si>
  <si>
    <t>Type C USB</t>
  </si>
  <si>
    <t>Multifuntional printer</t>
  </si>
  <si>
    <t>LaserJet Pro MFP 4303fdw</t>
  </si>
  <si>
    <t>CNBRS4L3P8</t>
  </si>
  <si>
    <t>XG0202012</t>
  </si>
  <si>
    <t>Laser printer</t>
  </si>
  <si>
    <t>HL-L6210DW</t>
  </si>
  <si>
    <t>U66650G4N384298</t>
  </si>
  <si>
    <t>XG0202010</t>
  </si>
  <si>
    <t>U66650G4N384331</t>
  </si>
  <si>
    <t>XG0202011</t>
  </si>
  <si>
    <t>Cutters</t>
  </si>
  <si>
    <t>Urrea</t>
  </si>
  <si>
    <t>18 mm</t>
  </si>
  <si>
    <t>Tape dispenser 4"</t>
  </si>
  <si>
    <t>H-720</t>
  </si>
  <si>
    <t>Quality</t>
  </si>
  <si>
    <t>XG0404001</t>
  </si>
  <si>
    <t>XG0404002</t>
  </si>
  <si>
    <t>Bolt cutters</t>
  </si>
  <si>
    <t>XG0404003</t>
  </si>
  <si>
    <t>XG0404004</t>
  </si>
  <si>
    <t>Working table</t>
  </si>
  <si>
    <t>H-6746</t>
  </si>
  <si>
    <t>XG0405001</t>
  </si>
  <si>
    <t>Industrial heat gun</t>
  </si>
  <si>
    <t>8975-6</t>
  </si>
  <si>
    <t>731AB232103728A</t>
  </si>
  <si>
    <t>XG0404005</t>
  </si>
  <si>
    <t>Cable cutting shears</t>
  </si>
  <si>
    <t>Knipex</t>
  </si>
  <si>
    <t>Manual Heavy Duty Staple Gun</t>
  </si>
  <si>
    <t>Staple Gun</t>
  </si>
  <si>
    <t>H-2020</t>
  </si>
  <si>
    <t>XG0404006</t>
  </si>
  <si>
    <t>XG0404007</t>
  </si>
  <si>
    <t>XG0404008</t>
  </si>
  <si>
    <t>XG0404009</t>
  </si>
  <si>
    <t>Acrylic half dome mirror</t>
  </si>
  <si>
    <t>H-1308</t>
  </si>
  <si>
    <t>Dome mirror</t>
  </si>
  <si>
    <t>XG0704001</t>
  </si>
  <si>
    <t>XG0704002</t>
  </si>
  <si>
    <t>XG0704003</t>
  </si>
  <si>
    <t>XG0704004</t>
  </si>
  <si>
    <t>XG0704005</t>
  </si>
  <si>
    <t>XG0704006</t>
  </si>
  <si>
    <t>XG0704007</t>
  </si>
  <si>
    <t>XG0704008</t>
  </si>
  <si>
    <t>XG0704009</t>
  </si>
  <si>
    <t>XG0704010</t>
  </si>
  <si>
    <t>Universal spill kit</t>
  </si>
  <si>
    <t>S-18303</t>
  </si>
  <si>
    <t>Onsite mobile eye wash station</t>
  </si>
  <si>
    <t>H-6224</t>
  </si>
  <si>
    <t>Camera</t>
  </si>
  <si>
    <t>acA5472</t>
  </si>
  <si>
    <t>19/12/2024</t>
  </si>
  <si>
    <t>Camera Lens</t>
  </si>
  <si>
    <t>BASLER</t>
  </si>
  <si>
    <t>C11-1620-12M-P f16mm</t>
  </si>
  <si>
    <t>C11-0824-12M-P f8.5mm</t>
  </si>
  <si>
    <t>PR240815ZL01</t>
  </si>
  <si>
    <t>M012412004</t>
  </si>
  <si>
    <t>M012412005</t>
  </si>
  <si>
    <t>M012412006</t>
  </si>
  <si>
    <t>KIVA AREA</t>
  </si>
  <si>
    <t>H &amp; T Sensor / esp32 s3</t>
  </si>
  <si>
    <t>Raspberry Pi 5 / PoE hat</t>
  </si>
  <si>
    <t>Pi5</t>
  </si>
  <si>
    <t>PR241024ZL01</t>
  </si>
  <si>
    <t>LED Andon Tower</t>
  </si>
  <si>
    <t>ANDONT</t>
  </si>
  <si>
    <t xml:space="preserve">Adafruit </t>
  </si>
  <si>
    <t>S3</t>
  </si>
  <si>
    <t>PR240815ZL03 </t>
  </si>
  <si>
    <t>M012412007</t>
  </si>
  <si>
    <t>M012412008</t>
  </si>
  <si>
    <t>Anden 4</t>
  </si>
  <si>
    <t>HW PE</t>
  </si>
  <si>
    <t>M012408007</t>
  </si>
  <si>
    <t>M012408008</t>
  </si>
  <si>
    <t>M012408010</t>
  </si>
  <si>
    <t>M012408003</t>
  </si>
  <si>
    <t>M012408004</t>
  </si>
  <si>
    <t>M012408005</t>
  </si>
  <si>
    <t>M012408006</t>
  </si>
  <si>
    <t>M012408012</t>
  </si>
  <si>
    <t>M012408009</t>
  </si>
  <si>
    <t>M012408011</t>
  </si>
  <si>
    <t>100cmx85cmx203cm</t>
  </si>
  <si>
    <t>M012501001</t>
  </si>
  <si>
    <t>Kiva Area</t>
  </si>
  <si>
    <t>M012501002</t>
  </si>
  <si>
    <t>M012501003</t>
  </si>
  <si>
    <t>M012501004</t>
  </si>
  <si>
    <t>M012501005</t>
  </si>
  <si>
    <t>M012501006</t>
  </si>
  <si>
    <t>M012501007</t>
  </si>
  <si>
    <t>M012501008</t>
  </si>
  <si>
    <t>M012501009</t>
  </si>
  <si>
    <t>M012501010</t>
  </si>
  <si>
    <t>M012501011</t>
  </si>
  <si>
    <t>M012501012</t>
  </si>
  <si>
    <t>M012501013</t>
  </si>
  <si>
    <t>M012501014</t>
  </si>
  <si>
    <t>M012501015</t>
  </si>
  <si>
    <t>M012501016</t>
  </si>
  <si>
    <t>M012501017</t>
  </si>
  <si>
    <t>M012501018</t>
  </si>
  <si>
    <t>M012501019</t>
  </si>
  <si>
    <t>M012501020</t>
  </si>
  <si>
    <t>M012501021</t>
  </si>
  <si>
    <t>M012501022</t>
  </si>
  <si>
    <t>M012501023</t>
  </si>
  <si>
    <t>M012501024</t>
  </si>
  <si>
    <t>M012501025</t>
  </si>
  <si>
    <t>M012501026</t>
  </si>
  <si>
    <t>M012501027</t>
  </si>
  <si>
    <t>M012501028</t>
  </si>
  <si>
    <t>M012501029</t>
  </si>
  <si>
    <t>M012501030</t>
  </si>
  <si>
    <t>M012501031</t>
  </si>
  <si>
    <t>M012501032</t>
  </si>
  <si>
    <t>M012501033</t>
  </si>
  <si>
    <t>M012501034</t>
  </si>
  <si>
    <t>M012501035</t>
  </si>
  <si>
    <t>M012501036</t>
  </si>
  <si>
    <t>M012501037</t>
  </si>
  <si>
    <t>M012501038</t>
  </si>
  <si>
    <t>M012501039</t>
  </si>
  <si>
    <t>M012501040</t>
  </si>
  <si>
    <t>M012501041</t>
  </si>
  <si>
    <t>M012501042</t>
  </si>
  <si>
    <t>M012501043</t>
  </si>
  <si>
    <t>M012501044</t>
  </si>
  <si>
    <t>M012501045</t>
  </si>
  <si>
    <t>M012501046</t>
  </si>
  <si>
    <t>M012501047</t>
  </si>
  <si>
    <t>M012501048</t>
  </si>
  <si>
    <t>M012501049</t>
  </si>
  <si>
    <t>M012501050</t>
  </si>
  <si>
    <t>M012501051</t>
  </si>
  <si>
    <t>M012501052</t>
  </si>
  <si>
    <t>M012501053</t>
  </si>
  <si>
    <t>M012501054</t>
  </si>
  <si>
    <t>PR241030ZL03</t>
  </si>
  <si>
    <t>Switch PoE</t>
  </si>
  <si>
    <t>Hikvision</t>
  </si>
  <si>
    <t>DS-3T0510HP-E/HS</t>
  </si>
  <si>
    <t>M012501201</t>
  </si>
  <si>
    <t>M012501202</t>
  </si>
  <si>
    <t>M012501203</t>
  </si>
  <si>
    <t>M012501204</t>
  </si>
  <si>
    <t>M012501205</t>
  </si>
  <si>
    <t>M012501206</t>
  </si>
  <si>
    <t>M012501207</t>
  </si>
  <si>
    <t>M012501208</t>
  </si>
  <si>
    <t>M012501209</t>
  </si>
  <si>
    <t>PR241106ZL01</t>
  </si>
  <si>
    <t>a2A4508</t>
  </si>
  <si>
    <t>M012501055</t>
  </si>
  <si>
    <t>22/01/2025</t>
  </si>
  <si>
    <t xml:space="preserve">PR241213ZL04 </t>
  </si>
  <si>
    <t>19/02/2025</t>
  </si>
  <si>
    <t>XY PE</t>
  </si>
  <si>
    <t>M012502001</t>
  </si>
  <si>
    <t>M012502002</t>
  </si>
  <si>
    <t>I3L01F2310140016</t>
  </si>
  <si>
    <t>I3L01F2310140020</t>
  </si>
  <si>
    <t>Multicontact</t>
  </si>
  <si>
    <t>SP10</t>
  </si>
  <si>
    <t>ZL0225301</t>
  </si>
  <si>
    <t>AGV Racks</t>
  </si>
  <si>
    <t>AGV single layer</t>
  </si>
  <si>
    <t>1150cm x 1250cm</t>
  </si>
  <si>
    <t>M012501056</t>
  </si>
  <si>
    <t>M012501057</t>
  </si>
  <si>
    <t>M012501058</t>
  </si>
  <si>
    <t>M012501059</t>
  </si>
  <si>
    <t>M012501060</t>
  </si>
  <si>
    <t>M012501061</t>
  </si>
  <si>
    <t>M012501062</t>
  </si>
  <si>
    <t>M012501063</t>
  </si>
  <si>
    <t>M012501064</t>
  </si>
  <si>
    <t>M012501065</t>
  </si>
  <si>
    <t>M012501066</t>
  </si>
  <si>
    <t>M012501067</t>
  </si>
  <si>
    <t>M012501068</t>
  </si>
  <si>
    <t>ING INDUSTRIAL</t>
  </si>
  <si>
    <t>[MSC/TI] STOCK</t>
  </si>
  <si>
    <t>[MSC/ATO] TEST MP48</t>
  </si>
  <si>
    <t>[MSC/ATO] UV PRINTER</t>
  </si>
  <si>
    <t>[MSC/ATO] LINE 4 ASSEMBLY</t>
  </si>
  <si>
    <t>[MSC/TI] (MDF07) ZABBIX</t>
  </si>
  <si>
    <t>[MSC/ATO] MOBILE STATION 01</t>
  </si>
  <si>
    <t>[MSC/TI] (DOOR 4) RECEIVING DASHBOARD</t>
  </si>
  <si>
    <t>[GP/WH] VICTOR HUGO RUBIO REYES</t>
  </si>
  <si>
    <t>[MSC/CFT] WH PICKING SUPPERVISOR</t>
  </si>
  <si>
    <t>[MSC/TI] (MDF07) RECORDS DB</t>
  </si>
  <si>
    <t>[MSC/POC] SOP`S CONSULTING STATION</t>
  </si>
  <si>
    <t>[MSC/TI] (MDF07) ORDER REVIEW</t>
  </si>
  <si>
    <t>[MSC/ATO] LINE 3 QUALITY</t>
  </si>
  <si>
    <t>[MSC/TI] (IT ROOM) STOCK</t>
  </si>
  <si>
    <t>[GP/TI] (MDF07) PDA PHOTOS TRANSFER</t>
  </si>
  <si>
    <t>[MSC/TI] (IT ROOM) MSTSC</t>
  </si>
  <si>
    <t>[MSC/TEST] (MDF07) DEV-JMURO</t>
  </si>
  <si>
    <t>[MSC/TI] (MDF07) PROXMOX VE</t>
  </si>
  <si>
    <t>[MSC/CFT] WH PICKING STAFF</t>
  </si>
  <si>
    <t>[MSC/WH] CABLE CUTTING 01</t>
  </si>
  <si>
    <t>[MSC/WH] CABLE CUTTING 02</t>
  </si>
  <si>
    <t>[MSC/EHS] HÉCTOR OJEDA CEVALLOS - CCTV VIDEOWALL</t>
  </si>
  <si>
    <t>[MSC/ATO] LINE 2 ASSEMBLY</t>
  </si>
  <si>
    <t>[MSC/WH] CC STAFF</t>
  </si>
  <si>
    <t>[MSC/ATO] LINE 3 ASSEMBLY</t>
  </si>
  <si>
    <t>[GP/TI] (IDF09) IPERF</t>
  </si>
  <si>
    <t>[MSC/TI] (MDF07) ENVIROMET TEST</t>
  </si>
  <si>
    <t>[MSC/TI] (MDF07) WIREGUARD</t>
  </si>
  <si>
    <t>[POC] MOBILE STATION 01</t>
  </si>
  <si>
    <t>[MSC/CFT] QA STAFF</t>
  </si>
  <si>
    <t>[MSC/TI] (IT ROOM) COBIAN</t>
  </si>
  <si>
    <t>[MSC/ATO] ONT-1 LABEL PRINT</t>
  </si>
  <si>
    <t>[MSC/ATO] MOBILE STATION 02</t>
  </si>
  <si>
    <t>[MSC/WH] PICKING ESD STATION</t>
  </si>
  <si>
    <t>[MSC/EHS] HÉCTOR OJEDA CEVALLOS - TOPALI</t>
  </si>
  <si>
    <t>[MSC/WH] SMK MOBILE STATION</t>
  </si>
  <si>
    <t>[MSC/TI] (MDF07) TRUE NAS CORE</t>
  </si>
  <si>
    <t>[MSC/ATO] LINE 3 PACKING</t>
  </si>
  <si>
    <t>[MSC/TI] (IT ROOM) PRINTERS</t>
  </si>
  <si>
    <t>[MSC/TI] (DOOR 4) XINYA RECORDS</t>
  </si>
  <si>
    <t>[GP/EHS] HÉCTOR OJEDA CEVALLOS - TOPALI</t>
  </si>
  <si>
    <t>[MSC/ATO] SUPERVISOR</t>
  </si>
  <si>
    <t>[MSC/ATO] ESD STATION</t>
  </si>
  <si>
    <t>[MSC/USER] MURO DELGADO JESÚS ASDRÚBAL</t>
  </si>
  <si>
    <t>[MSC/USER] ORLANDO AGUILAR MORALES</t>
  </si>
  <si>
    <t>[LA/USER] SALDAÑA OLMOS LUIS DANIEL</t>
  </si>
  <si>
    <t>[MSC/USER] CUAHUTEMOC COVARRUBIAS PRECIADO</t>
  </si>
  <si>
    <t>[LA/QA] VALERIA ALEJANDRA ARCINIEGA SÁNCHEZ - ZL IMMEX</t>
  </si>
  <si>
    <t>[ASSIMEX] ALEJANDRO ONETO RENAN GONZALEZ (HW IMMEX)</t>
  </si>
  <si>
    <t>[GP/TRAINING] RICARDO EZEQUIEL LÒPEZ CERVANTES / BRAYAN ENRIQUE ESPANTA GARCÌA</t>
  </si>
  <si>
    <t>[MSC/USER] SALVADOR GÓMEZ ACOSTA</t>
  </si>
  <si>
    <t>[MSC/USER] SERGIO GÓMEZ PEÑA</t>
  </si>
  <si>
    <t>[MSC/USER] HÉCTOR OJEDA CEVALLOS</t>
  </si>
  <si>
    <t>[LA/USER] ASTRID ARIADNA ÁLVAREZ MACIAS</t>
  </si>
  <si>
    <t>[LA/USER] GUTIERREZ MANZANAREZ CARLOS</t>
  </si>
  <si>
    <t>[GP/CLEANING] ROJO TORRES KENIA</t>
  </si>
  <si>
    <t>[GP/QA] BLANCA ESTELA BAUTISTA LOPEZ / ANA ISABEL LOPEZ COVARRUBIAS</t>
  </si>
  <si>
    <t>[MSC/USER] BARRAGAN SERRANO MONICA / ORTIZ GUERRERO HECTOR MIGUEL</t>
  </si>
  <si>
    <t>[LA/USER] ARTURO RAMSÉS MERCADO DOMÍNGUEZ</t>
  </si>
  <si>
    <t>[AIO/USER] FRANCISCO GONZÁLEZ GARCÍA</t>
  </si>
  <si>
    <t>[MSC/WH] SHIPPING WAREHOUSE COORDINATOR</t>
  </si>
  <si>
    <t>[MSC/USER] VALERIA ALEJANDRA ARCINIEGA SÁNCHEZ</t>
  </si>
  <si>
    <t>[MSC/USER] GUTIERREZ GARCÍA CÉSAR EDUARDO</t>
  </si>
  <si>
    <t>[MSC/USER] JORGE ARTURO ABARCA OROZCO</t>
  </si>
  <si>
    <t>[MSC/USER] CECILIA DÀVALOS PALOMAR / CÁNDIDO RODRÍGUEZ FIERRO CASTILLO</t>
  </si>
  <si>
    <t>[MSC/USER] GOMEZ LARIOS JOSE BENJAMIN</t>
  </si>
  <si>
    <t>[MSC/USER] ERIK JONÁS NAVARRO ÁLVAREZ - AGV</t>
  </si>
  <si>
    <t>ASSET NO ES DELL. SE ENCUENTRA EN INVENTARIO ZLLA</t>
  </si>
  <si>
    <t>EQUIPO INSERVIBLE PENDIENTE DE BAJA</t>
  </si>
  <si>
    <t>EQUIPO DADO DE BAJA (ASSIGNADO:  [LA/USER] LÓPEZ SANDOVAL JUAN ANTONIO)</t>
  </si>
  <si>
    <t>[MSC/USER] NÉLIDA DELFINA MARTÍNEZ PLASCENCIA</t>
  </si>
  <si>
    <t>[MSC/USER] CORTÉS MORALES ROCÍO ESMERALDA</t>
  </si>
  <si>
    <t>[GP/USER] DYANE EMAYRANI GUTIERREZ CISNEROS</t>
  </si>
  <si>
    <t>[MSC/WH] PICKING DESKTOP STAFF</t>
  </si>
  <si>
    <t>[MSC/USER] DURON FERIA DIANA ELENA</t>
  </si>
  <si>
    <t>[MSC/USER] RUIZ MARTINEZ EROS</t>
  </si>
  <si>
    <t>[MSC/ATO] DEBUG ONT STATION</t>
  </si>
  <si>
    <t>[LA/USER] ZAIRA JUDITH VILLEGAS RUBIO</t>
  </si>
  <si>
    <t>[LA/USER] MIGNON PIZANO FRANCISCO ROBERTO</t>
  </si>
  <si>
    <t>[LA/USER] NATALIA ORTÍZ MURILLO</t>
  </si>
  <si>
    <t>[MSC/TI] EQUIPO INSERVIBLE PENDIENTE DE BAJA</t>
  </si>
  <si>
    <t>[LA/USER] LÓPEZ SANDOVAL JUAN ANTONIO</t>
  </si>
  <si>
    <t>[LA/USER] SALINAS MARTÍNEZ JUAN JOSÉ</t>
  </si>
  <si>
    <t>[MSC/WH] CYCLE COUNT DESKTOP STATION</t>
  </si>
  <si>
    <t>[MSC/WH] INBOUND DESKTOP STATION</t>
  </si>
  <si>
    <t>[MSC/QA] QUALITY DESKTOP STAFF</t>
  </si>
  <si>
    <t>[MSC/USER] MARTINEZ BAEZ ABRAHAM</t>
  </si>
  <si>
    <t>[LA/USER] XOCHITL KARINA GONZALEZ PACAS</t>
  </si>
  <si>
    <t>[MSC/USER] SMK MOBILE STATION</t>
  </si>
  <si>
    <t>[GP/USER] DIAZ CERVANTES DANIEL ANDRÉS</t>
  </si>
  <si>
    <t>[MSC/USER] CORTES MORALES ROCIO ESMERALDA</t>
  </si>
  <si>
    <t>[MSC/ATO] 3RD LINE PACKING STATION</t>
  </si>
  <si>
    <t>[LA/USER] CANELA GONZALES LUCÍA ALEJANDRA</t>
  </si>
  <si>
    <t>[LA/USER] ÁLVAREZ MACIAS ASTRID ARIADNA</t>
  </si>
  <si>
    <t>[MSC/USER] MATA SANCHEZ JUAN JESUS</t>
  </si>
  <si>
    <t>[MSC/IT] IDF01</t>
  </si>
  <si>
    <t>[MSC/IT] IDF04</t>
  </si>
  <si>
    <t>[MSC/IT] IDF05</t>
  </si>
  <si>
    <t>[GP/IT] IDF07</t>
  </si>
  <si>
    <t>[GP/IT] IDF08</t>
  </si>
  <si>
    <t>[MSC/IT] IDF03</t>
  </si>
  <si>
    <t>[MSC/IT] IDF06</t>
  </si>
  <si>
    <t>[MSC/IT] IDF02</t>
  </si>
  <si>
    <t>[MSC/USER] NAVARRO ALVAREZ ERIK JONAS</t>
  </si>
  <si>
    <t>TI</t>
  </si>
  <si>
    <t>[MSC/WH] CABLE CUTTING ST</t>
  </si>
  <si>
    <t>N8LMQS033092</t>
  </si>
  <si>
    <t>N8LMQS033070</t>
  </si>
  <si>
    <t>[MSC/ATO] ONT ENSAMBLE</t>
  </si>
  <si>
    <t>[MSC/ATO] ONT MP48</t>
  </si>
  <si>
    <t>[MSC/ATO] ONT LINE TEST MP1</t>
  </si>
  <si>
    <t>N8LMQS033086</t>
  </si>
  <si>
    <t>[MSC/ATO] ONT LABEL PRINT</t>
  </si>
  <si>
    <t>N8LMQS033056</t>
  </si>
  <si>
    <t>[MSC/ATO] MOBILE STATION</t>
  </si>
  <si>
    <t>[MSC/ATO] RECORD ESD</t>
  </si>
  <si>
    <t>[MSC/ATO] 4TH LINE QA</t>
  </si>
  <si>
    <t>[MSC/ATO] 4TH LINE TEST</t>
  </si>
  <si>
    <t>[MSC/ATO] 4TH LINE ASSEMBLY</t>
  </si>
  <si>
    <t>[MSC/ATO] 3RD LINE QA</t>
  </si>
  <si>
    <t>[MSC/ATO] 3RD LINE TEST</t>
  </si>
  <si>
    <t>[MSC/ATO] 3RD LINE ASSEMBLY</t>
  </si>
  <si>
    <t>[MSC/ATO] 2ND LINE ASSEMBLY</t>
  </si>
  <si>
    <t>N8LMQS033085</t>
  </si>
  <si>
    <t>[MSC/ATO] 2ND LINE TEST</t>
  </si>
  <si>
    <t>N8LMQS033045</t>
  </si>
  <si>
    <t>[MSC/ATO] 1ST LINE TEST</t>
  </si>
  <si>
    <t>[MSC/POC] MOBILE STATION</t>
  </si>
  <si>
    <t>N9LMQS074780</t>
  </si>
  <si>
    <t>[MSC/WH] ESD PICKING STATION</t>
  </si>
  <si>
    <t>[MSC/WH] CABLE CUTTING STATION</t>
  </si>
  <si>
    <t>[MSC/WH] CABLE CUTTING ST 1</t>
  </si>
  <si>
    <t xml:space="preserve">[MSC/EHS] TOPALI SECURITY DOOR 3 </t>
  </si>
  <si>
    <t>[LA/USER] SALINAS MARTINEZ JUAN JOSE</t>
  </si>
  <si>
    <t>[LA/USER] EGUZMAN</t>
  </si>
  <si>
    <t>[LA/USER] SINDY</t>
  </si>
  <si>
    <t>[LA/USER] HERNANDEZ REYES FABIOLA JUDITH</t>
  </si>
  <si>
    <t>[LA/USER] LOPEZ JIMENEZ LAURA PATRICIA</t>
  </si>
  <si>
    <t>ASSET NO ES HP. SE ENCUENTRA EN INVENTARIO ZLLA</t>
  </si>
  <si>
    <t>[LA/RH] WORKY KIOSKO</t>
  </si>
  <si>
    <t>DELL 15 DC15250</t>
  </si>
  <si>
    <t>ZL0202355</t>
  </si>
  <si>
    <t>ZL0202356</t>
  </si>
  <si>
    <t>307NDC4</t>
  </si>
  <si>
    <t>D9L85C4</t>
  </si>
  <si>
    <t>ZL0202357</t>
  </si>
  <si>
    <t>AUN NO LLEGA</t>
  </si>
  <si>
    <t>Reemplazo</t>
  </si>
  <si>
    <t>18V DUB185SFX1</t>
  </si>
  <si>
    <t>OLS3000RT2UA</t>
  </si>
  <si>
    <t>PR2200RT2U</t>
  </si>
  <si>
    <t>XY ASSET</t>
  </si>
  <si>
    <t>Come form</t>
  </si>
  <si>
    <t>AIO</t>
  </si>
  <si>
    <t>Flex</t>
  </si>
  <si>
    <t>Torque meter</t>
  </si>
  <si>
    <t>XY00467</t>
  </si>
  <si>
    <t>XY00004</t>
  </si>
  <si>
    <t>XY00005</t>
  </si>
  <si>
    <t>XY00010</t>
  </si>
  <si>
    <t>XY00011</t>
  </si>
  <si>
    <t>XY00012</t>
  </si>
  <si>
    <t>XY00013</t>
  </si>
  <si>
    <t>XY00014</t>
  </si>
  <si>
    <t>XY00015</t>
  </si>
  <si>
    <t>XY00016</t>
  </si>
  <si>
    <t>XY00017</t>
  </si>
  <si>
    <t>XY00018</t>
  </si>
  <si>
    <t>XY00019</t>
  </si>
  <si>
    <t>XY00020</t>
  </si>
  <si>
    <t>XY00021</t>
  </si>
  <si>
    <t>XY00022</t>
  </si>
  <si>
    <t>XY00023</t>
  </si>
  <si>
    <t>XY00024</t>
  </si>
  <si>
    <t>XY00025</t>
  </si>
  <si>
    <t>XY00026</t>
  </si>
  <si>
    <t>XY00027</t>
  </si>
  <si>
    <t>XY00029</t>
  </si>
  <si>
    <t>XY00030</t>
  </si>
  <si>
    <t>XY00032</t>
  </si>
  <si>
    <t>XY00033</t>
  </si>
  <si>
    <t>XY00035</t>
  </si>
  <si>
    <t>XY00036</t>
  </si>
  <si>
    <t>XY00040</t>
  </si>
  <si>
    <t>XY00051</t>
  </si>
  <si>
    <t>XY00052</t>
  </si>
  <si>
    <t>XY00053</t>
  </si>
  <si>
    <t>XY00054</t>
  </si>
  <si>
    <t>XY00055</t>
  </si>
  <si>
    <t>XY00056</t>
  </si>
  <si>
    <t>XY00057</t>
  </si>
  <si>
    <t>XY00058</t>
  </si>
  <si>
    <t>XY00059</t>
  </si>
  <si>
    <t>XY00060</t>
  </si>
  <si>
    <t>XY00062</t>
  </si>
  <si>
    <t>XY00063</t>
  </si>
  <si>
    <t>XY00064</t>
  </si>
  <si>
    <t>XY00065</t>
  </si>
  <si>
    <t>XY00066</t>
  </si>
  <si>
    <t>XY00067</t>
  </si>
  <si>
    <t>XY00068</t>
  </si>
  <si>
    <t>XY00069</t>
  </si>
  <si>
    <t>XY00070</t>
  </si>
  <si>
    <t>XY00071</t>
  </si>
  <si>
    <t>XY00072</t>
  </si>
  <si>
    <t>XY00073</t>
  </si>
  <si>
    <t>XY00074</t>
  </si>
  <si>
    <t>XY00075</t>
  </si>
  <si>
    <t>XY00076</t>
  </si>
  <si>
    <t>XY00077</t>
  </si>
  <si>
    <t>XY00078</t>
  </si>
  <si>
    <t>XY00079</t>
  </si>
  <si>
    <t>XY00080</t>
  </si>
  <si>
    <t>XY00081</t>
  </si>
  <si>
    <t>XY00082</t>
  </si>
  <si>
    <t>XY00083</t>
  </si>
  <si>
    <t>XY00084</t>
  </si>
  <si>
    <t>XY00085</t>
  </si>
  <si>
    <t>XY00086</t>
  </si>
  <si>
    <t>XY00087</t>
  </si>
  <si>
    <t>XY00088</t>
  </si>
  <si>
    <t>XY00089</t>
  </si>
  <si>
    <t>XY00090</t>
  </si>
  <si>
    <t>XY00091</t>
  </si>
  <si>
    <t>XY00092</t>
  </si>
  <si>
    <t>XY00093</t>
  </si>
  <si>
    <t>XY00094</t>
  </si>
  <si>
    <t>XY00095</t>
  </si>
  <si>
    <t>XY00096</t>
  </si>
  <si>
    <t>XY00097</t>
  </si>
  <si>
    <t>XY00098</t>
  </si>
  <si>
    <t>XY00099</t>
  </si>
  <si>
    <t>XY00100</t>
  </si>
  <si>
    <t>XY00101</t>
  </si>
  <si>
    <t>XY00102</t>
  </si>
  <si>
    <t>XY00103</t>
  </si>
  <si>
    <t>XY00104</t>
  </si>
  <si>
    <t>XY00105</t>
  </si>
  <si>
    <t>XY00106</t>
  </si>
  <si>
    <t>XY00107</t>
  </si>
  <si>
    <t>XY00108</t>
  </si>
  <si>
    <t>XY00109</t>
  </si>
  <si>
    <t>XY00110</t>
  </si>
  <si>
    <t>XY00111</t>
  </si>
  <si>
    <t>XY00112</t>
  </si>
  <si>
    <t>XY00113</t>
  </si>
  <si>
    <t>XY00114</t>
  </si>
  <si>
    <t>XY00115</t>
  </si>
  <si>
    <t>XY00116</t>
  </si>
  <si>
    <t>XY00117</t>
  </si>
  <si>
    <t>XY00118</t>
  </si>
  <si>
    <t>XY00119</t>
  </si>
  <si>
    <t>XY00120</t>
  </si>
  <si>
    <t>XY00122</t>
  </si>
  <si>
    <t>XY00123</t>
  </si>
  <si>
    <t>XY00125</t>
  </si>
  <si>
    <t>XY00127</t>
  </si>
  <si>
    <t>XY00128</t>
  </si>
  <si>
    <t>XY00129</t>
  </si>
  <si>
    <t>XY00130</t>
  </si>
  <si>
    <t>XY00131</t>
  </si>
  <si>
    <t>XY00132</t>
  </si>
  <si>
    <t>XY00133</t>
  </si>
  <si>
    <t>XY00134</t>
  </si>
  <si>
    <t>XY00135</t>
  </si>
  <si>
    <t>XY00136</t>
  </si>
  <si>
    <t>XY00137</t>
  </si>
  <si>
    <t>XY00138</t>
  </si>
  <si>
    <t>XY00139</t>
  </si>
  <si>
    <t>XY00140</t>
  </si>
  <si>
    <t>XY00141</t>
  </si>
  <si>
    <t>XY00142</t>
  </si>
  <si>
    <t>XY00143</t>
  </si>
  <si>
    <t>XY00144</t>
  </si>
  <si>
    <t>XY00145</t>
  </si>
  <si>
    <t>XY00146</t>
  </si>
  <si>
    <t>XY00147</t>
  </si>
  <si>
    <t>XY00148</t>
  </si>
  <si>
    <t>XY00149</t>
  </si>
  <si>
    <t>XY00150</t>
  </si>
  <si>
    <t>XY00151</t>
  </si>
  <si>
    <t>XY00152</t>
  </si>
  <si>
    <t>XY00153</t>
  </si>
  <si>
    <t>XY00154</t>
  </si>
  <si>
    <t>XY00158</t>
  </si>
  <si>
    <t>XY00159</t>
  </si>
  <si>
    <t>XY00160</t>
  </si>
  <si>
    <t>XY00161</t>
  </si>
  <si>
    <t>XY00162</t>
  </si>
  <si>
    <t>XY00164</t>
  </si>
  <si>
    <t>XY00188</t>
  </si>
  <si>
    <t>XY00189</t>
  </si>
  <si>
    <t>XY00190</t>
  </si>
  <si>
    <t>XY00191</t>
  </si>
  <si>
    <t>XY00192</t>
  </si>
  <si>
    <t>XY00194</t>
  </si>
  <si>
    <t>XY00197</t>
  </si>
  <si>
    <t>XY00198</t>
  </si>
  <si>
    <t>XY00199</t>
  </si>
  <si>
    <t>XY00200</t>
  </si>
  <si>
    <t>XY00201</t>
  </si>
  <si>
    <t>XY00202</t>
  </si>
  <si>
    <t>XY00203</t>
  </si>
  <si>
    <t>XY00204</t>
  </si>
  <si>
    <t>XY00205</t>
  </si>
  <si>
    <t>XY00206</t>
  </si>
  <si>
    <t>XY00207</t>
  </si>
  <si>
    <t>XY00212</t>
  </si>
  <si>
    <t>XY00213</t>
  </si>
  <si>
    <t>XY00214</t>
  </si>
  <si>
    <t>XY00215</t>
  </si>
  <si>
    <t>XY00216</t>
  </si>
  <si>
    <t>XY00217</t>
  </si>
  <si>
    <t>XY00218</t>
  </si>
  <si>
    <t>XY00219</t>
  </si>
  <si>
    <t>XY00220</t>
  </si>
  <si>
    <t>XY00227</t>
  </si>
  <si>
    <t>XY00228</t>
  </si>
  <si>
    <t>XY00229</t>
  </si>
  <si>
    <t>XY00230</t>
  </si>
  <si>
    <t>XY00231</t>
  </si>
  <si>
    <t>XY00232</t>
  </si>
  <si>
    <t>XY00245</t>
  </si>
  <si>
    <t>XY00246</t>
  </si>
  <si>
    <t>XY00247</t>
  </si>
  <si>
    <t>XY00248</t>
  </si>
  <si>
    <t>XY00249</t>
  </si>
  <si>
    <t>XY00250</t>
  </si>
  <si>
    <t>XY00251</t>
  </si>
  <si>
    <t>XY00252</t>
  </si>
  <si>
    <t>XY00253</t>
  </si>
  <si>
    <t>XY00254</t>
  </si>
  <si>
    <t>XY00255</t>
  </si>
  <si>
    <t>XY00256</t>
  </si>
  <si>
    <t>XY00257</t>
  </si>
  <si>
    <t>XY00258</t>
  </si>
  <si>
    <t>XY00259</t>
  </si>
  <si>
    <t>XY00260</t>
  </si>
  <si>
    <t>XY00261</t>
  </si>
  <si>
    <t>XY00263</t>
  </si>
  <si>
    <t>XY00264</t>
  </si>
  <si>
    <t>XY00266</t>
  </si>
  <si>
    <t>XY00269</t>
  </si>
  <si>
    <t>XY00270</t>
  </si>
  <si>
    <t>XY00272</t>
  </si>
  <si>
    <t>XY00273</t>
  </si>
  <si>
    <t>XY00275</t>
  </si>
  <si>
    <t>XY00276</t>
  </si>
  <si>
    <t>XY00277</t>
  </si>
  <si>
    <t>XY00278</t>
  </si>
  <si>
    <t>XY00279</t>
  </si>
  <si>
    <t>XY00280</t>
  </si>
  <si>
    <t>XY00281</t>
  </si>
  <si>
    <t>XY00282</t>
  </si>
  <si>
    <t>XY00283</t>
  </si>
  <si>
    <t>XY00284</t>
  </si>
  <si>
    <t>XY00285</t>
  </si>
  <si>
    <t>XY00286</t>
  </si>
  <si>
    <t>XY00287</t>
  </si>
  <si>
    <t>XY00288</t>
  </si>
  <si>
    <t>XY00289</t>
  </si>
  <si>
    <t>XY00290</t>
  </si>
  <si>
    <t>XY00291</t>
  </si>
  <si>
    <t>XY00292</t>
  </si>
  <si>
    <t>XY00293</t>
  </si>
  <si>
    <t>XY00297</t>
  </si>
  <si>
    <t>XY00299</t>
  </si>
  <si>
    <t>XY00300</t>
  </si>
  <si>
    <t>XY00301</t>
  </si>
  <si>
    <t>XY00302</t>
  </si>
  <si>
    <t>XY00303</t>
  </si>
  <si>
    <t>XY00305</t>
  </si>
  <si>
    <t>XY00308</t>
  </si>
  <si>
    <t>XY00309</t>
  </si>
  <si>
    <t>XY00310</t>
  </si>
  <si>
    <t>XY00314</t>
  </si>
  <si>
    <t>XY00316</t>
  </si>
  <si>
    <t>XY00317</t>
  </si>
  <si>
    <t>XY00318</t>
  </si>
  <si>
    <t>XY00320</t>
  </si>
  <si>
    <t>XY00321</t>
  </si>
  <si>
    <t>XY00323</t>
  </si>
  <si>
    <t>XY00324</t>
  </si>
  <si>
    <t>XY00325</t>
  </si>
  <si>
    <t>XY00328</t>
  </si>
  <si>
    <t>XY00329</t>
  </si>
  <si>
    <t>XY00330</t>
  </si>
  <si>
    <t>XY00331</t>
  </si>
  <si>
    <t>XY00335</t>
  </si>
  <si>
    <t>XY00336</t>
  </si>
  <si>
    <t>XY00337</t>
  </si>
  <si>
    <t>XY00338</t>
  </si>
  <si>
    <t>XY00339</t>
  </si>
  <si>
    <t>XY00340</t>
  </si>
  <si>
    <t>XY00341</t>
  </si>
  <si>
    <t>XY00342</t>
  </si>
  <si>
    <t>XY00344</t>
  </si>
  <si>
    <t>XY00345</t>
  </si>
  <si>
    <t>XY00346</t>
  </si>
  <si>
    <t>XY00347</t>
  </si>
  <si>
    <t>XY00348</t>
  </si>
  <si>
    <t>XY00349</t>
  </si>
  <si>
    <t>XY00350</t>
  </si>
  <si>
    <t>XY00351</t>
  </si>
  <si>
    <t>XY00353</t>
  </si>
  <si>
    <t>XY00354</t>
  </si>
  <si>
    <t>XY00356</t>
  </si>
  <si>
    <t>XY00357</t>
  </si>
  <si>
    <t>XY00361</t>
  </si>
  <si>
    <t>XY00362</t>
  </si>
  <si>
    <t>XY00365</t>
  </si>
  <si>
    <t>XY00368</t>
  </si>
  <si>
    <t>XY00369</t>
  </si>
  <si>
    <t>XY00370</t>
  </si>
  <si>
    <t>XY00371</t>
  </si>
  <si>
    <t>XY00372</t>
  </si>
  <si>
    <t>XY00373</t>
  </si>
  <si>
    <t>XY00376</t>
  </si>
  <si>
    <t>XY00377</t>
  </si>
  <si>
    <t>XY00378</t>
  </si>
  <si>
    <t>XY00380</t>
  </si>
  <si>
    <t>XY00381</t>
  </si>
  <si>
    <t>XY00382</t>
  </si>
  <si>
    <t>XY00383</t>
  </si>
  <si>
    <t>XY00384</t>
  </si>
  <si>
    <t>XY00385</t>
  </si>
  <si>
    <t>XY00386</t>
  </si>
  <si>
    <t>XY00387</t>
  </si>
  <si>
    <t>XY00388</t>
  </si>
  <si>
    <t>XY00390</t>
  </si>
  <si>
    <t>XY00391</t>
  </si>
  <si>
    <t>XY00392</t>
  </si>
  <si>
    <t>XY00393</t>
  </si>
  <si>
    <t>XY00394</t>
  </si>
  <si>
    <t>XY00395</t>
  </si>
  <si>
    <t>XY00396</t>
  </si>
  <si>
    <t>XY00397</t>
  </si>
  <si>
    <t>XY00398</t>
  </si>
  <si>
    <t>XY00399</t>
  </si>
  <si>
    <t>XY00400</t>
  </si>
  <si>
    <t>XY00401</t>
  </si>
  <si>
    <t>XY00402</t>
  </si>
  <si>
    <t>XY00403</t>
  </si>
  <si>
    <t>XY00404</t>
  </si>
  <si>
    <t>XY00405</t>
  </si>
  <si>
    <t>XY00406</t>
  </si>
  <si>
    <t>XY00407</t>
  </si>
  <si>
    <t>XY00408</t>
  </si>
  <si>
    <t>XY00409</t>
  </si>
  <si>
    <t>XY00410</t>
  </si>
  <si>
    <t>XY00411</t>
  </si>
  <si>
    <t>XY00412</t>
  </si>
  <si>
    <t>XY00413</t>
  </si>
  <si>
    <t>XY00414</t>
  </si>
  <si>
    <t>XY00415</t>
  </si>
  <si>
    <t>XY00416</t>
  </si>
  <si>
    <t>XY00417</t>
  </si>
  <si>
    <t>XY00418</t>
  </si>
  <si>
    <t>XY00419</t>
  </si>
  <si>
    <t>XY00420</t>
  </si>
  <si>
    <t>XY00421</t>
  </si>
  <si>
    <t>XY00422</t>
  </si>
  <si>
    <t>XY00423</t>
  </si>
  <si>
    <t>XY00426</t>
  </si>
  <si>
    <t>XY00427</t>
  </si>
  <si>
    <t>XY00428</t>
  </si>
  <si>
    <t>XY00429</t>
  </si>
  <si>
    <t>XY00430</t>
  </si>
  <si>
    <t>XY00432</t>
  </si>
  <si>
    <t>XY00433</t>
  </si>
  <si>
    <t>XY00434</t>
  </si>
  <si>
    <t>XY00435</t>
  </si>
  <si>
    <t>XY00436</t>
  </si>
  <si>
    <t>XY00437</t>
  </si>
  <si>
    <t>XY00438</t>
  </si>
  <si>
    <t>XY00439</t>
  </si>
  <si>
    <t>XY00440</t>
  </si>
  <si>
    <t>XY00441</t>
  </si>
  <si>
    <t>XY00442</t>
  </si>
  <si>
    <t>XY00443</t>
  </si>
  <si>
    <t>XY00444</t>
  </si>
  <si>
    <t>XY00445</t>
  </si>
  <si>
    <t>XY00446</t>
  </si>
  <si>
    <t>XY00447</t>
  </si>
  <si>
    <t>XY00448</t>
  </si>
  <si>
    <t>XY00449</t>
  </si>
  <si>
    <t>XY00450</t>
  </si>
  <si>
    <t>XY00451</t>
  </si>
  <si>
    <t>XY00452</t>
  </si>
  <si>
    <t>XY00453</t>
  </si>
  <si>
    <t>XY00454</t>
  </si>
  <si>
    <t>XY00455</t>
  </si>
  <si>
    <t>XY00456</t>
  </si>
  <si>
    <t>XY00457</t>
  </si>
  <si>
    <t>XY00458</t>
  </si>
  <si>
    <t>XY00459</t>
  </si>
  <si>
    <t>XY00460</t>
  </si>
  <si>
    <t>XY00461</t>
  </si>
  <si>
    <t>XY00462</t>
  </si>
  <si>
    <t>XY00463</t>
  </si>
  <si>
    <t>XY00464</t>
  </si>
  <si>
    <t>XY00465</t>
  </si>
  <si>
    <t>XY00466</t>
  </si>
  <si>
    <t>XY00475</t>
  </si>
  <si>
    <t>XY00476</t>
  </si>
  <si>
    <t>XY00477</t>
  </si>
  <si>
    <t>XY00478</t>
  </si>
  <si>
    <t>XY00479</t>
  </si>
  <si>
    <t>XY00480</t>
  </si>
  <si>
    <t>XY00481</t>
  </si>
  <si>
    <t>XY00482</t>
  </si>
  <si>
    <t>XY00483</t>
  </si>
  <si>
    <t>XY00484</t>
  </si>
  <si>
    <t>XY00485</t>
  </si>
  <si>
    <t>XY00486</t>
  </si>
  <si>
    <t>XY00487</t>
  </si>
  <si>
    <t>XY00488</t>
  </si>
  <si>
    <t>XY00489</t>
  </si>
  <si>
    <t>XY00490</t>
  </si>
  <si>
    <t>XY00491</t>
  </si>
  <si>
    <t>XY00492</t>
  </si>
  <si>
    <t>XY00493</t>
  </si>
  <si>
    <t>XY00494</t>
  </si>
  <si>
    <t>XY00495</t>
  </si>
  <si>
    <t>XY00496</t>
  </si>
  <si>
    <t>XY00497</t>
  </si>
  <si>
    <t>XY00498</t>
  </si>
  <si>
    <t>XY00499</t>
  </si>
  <si>
    <t>XY00500</t>
  </si>
  <si>
    <t>XY00501</t>
  </si>
  <si>
    <t>XY00502</t>
  </si>
  <si>
    <t>XY00503</t>
  </si>
  <si>
    <t>XY00504</t>
  </si>
  <si>
    <t>XY00505</t>
  </si>
  <si>
    <t>XY00506</t>
  </si>
  <si>
    <t>XY00507</t>
  </si>
  <si>
    <t>XY00508</t>
  </si>
  <si>
    <t>XY00509</t>
  </si>
  <si>
    <t>XY00510</t>
  </si>
  <si>
    <t>XY00511</t>
  </si>
  <si>
    <t>XY00512</t>
  </si>
  <si>
    <t>XY00513</t>
  </si>
  <si>
    <t>XY00514</t>
  </si>
  <si>
    <t>XY00515</t>
  </si>
  <si>
    <t>XY00516</t>
  </si>
  <si>
    <t>XY00518</t>
  </si>
  <si>
    <t>XY00519</t>
  </si>
  <si>
    <t>XY00523</t>
  </si>
  <si>
    <t>XY00524</t>
  </si>
  <si>
    <t>XY00525</t>
  </si>
  <si>
    <t>XY00526</t>
  </si>
  <si>
    <t>XY00527</t>
  </si>
  <si>
    <t>XY00528</t>
  </si>
  <si>
    <t>XY00529</t>
  </si>
  <si>
    <t>XY00530</t>
  </si>
  <si>
    <t>XY00531</t>
  </si>
  <si>
    <t>XY00532</t>
  </si>
  <si>
    <t>XY00533</t>
  </si>
  <si>
    <t>XY00534</t>
  </si>
  <si>
    <t>XY00535</t>
  </si>
  <si>
    <t>XY00536</t>
  </si>
  <si>
    <t>XY00537</t>
  </si>
  <si>
    <t>XY00538</t>
  </si>
  <si>
    <t>XY00539</t>
  </si>
  <si>
    <t>XY00540</t>
  </si>
  <si>
    <t>XY00541</t>
  </si>
  <si>
    <t>XY00542</t>
  </si>
  <si>
    <t>XY00543</t>
  </si>
  <si>
    <t>XY00544</t>
  </si>
  <si>
    <t>XY00545</t>
  </si>
  <si>
    <t>XY00546</t>
  </si>
  <si>
    <t>XY00547</t>
  </si>
  <si>
    <t>XY00548</t>
  </si>
  <si>
    <t>XY00549</t>
  </si>
  <si>
    <t>XY00551</t>
  </si>
  <si>
    <t>XY00552</t>
  </si>
  <si>
    <t>XY00553</t>
  </si>
  <si>
    <t>XY00554</t>
  </si>
  <si>
    <t>XY00555</t>
  </si>
  <si>
    <t>XY00556</t>
  </si>
  <si>
    <t>XY00557</t>
  </si>
  <si>
    <t>XY00558</t>
  </si>
  <si>
    <t>XY00559</t>
  </si>
  <si>
    <t>XY00560</t>
  </si>
  <si>
    <t>XY00561</t>
  </si>
  <si>
    <t>XY00562</t>
  </si>
  <si>
    <t>XY00563</t>
  </si>
  <si>
    <t>XY00564</t>
  </si>
  <si>
    <t>XY00565</t>
  </si>
  <si>
    <t>XY00566</t>
  </si>
  <si>
    <t>XY00567</t>
  </si>
  <si>
    <t>XY00568</t>
  </si>
  <si>
    <t>XY00569</t>
  </si>
  <si>
    <t>XY00570</t>
  </si>
  <si>
    <t>XY00576</t>
  </si>
  <si>
    <t>XY00577</t>
  </si>
  <si>
    <t>XY00580</t>
  </si>
  <si>
    <t>XY00581</t>
  </si>
  <si>
    <t>XY00582</t>
  </si>
  <si>
    <t>XY00583</t>
  </si>
  <si>
    <t>XY00584</t>
  </si>
  <si>
    <t>XY00585</t>
  </si>
  <si>
    <t>XY00586</t>
  </si>
  <si>
    <t>XY00587</t>
  </si>
  <si>
    <t>XY00593</t>
  </si>
  <si>
    <t>XY01025</t>
  </si>
  <si>
    <t>XY00595</t>
  </si>
  <si>
    <t>XY01013</t>
  </si>
  <si>
    <t>XY00001</t>
  </si>
  <si>
    <t>XY00002</t>
  </si>
  <si>
    <t>XY01005</t>
  </si>
  <si>
    <t>XY00844</t>
  </si>
  <si>
    <t>XY00006</t>
  </si>
  <si>
    <t>XY00007</t>
  </si>
  <si>
    <t>XY00008</t>
  </si>
  <si>
    <t>XY00009</t>
  </si>
  <si>
    <t>XY00034</t>
  </si>
  <si>
    <t>XY00037</t>
  </si>
  <si>
    <t>XY00038</t>
  </si>
  <si>
    <t>XY00039</t>
  </si>
  <si>
    <t>XY00043</t>
  </si>
  <si>
    <t>XY00042</t>
  </si>
  <si>
    <t>XY00046</t>
  </si>
  <si>
    <t>XY00028</t>
  </si>
  <si>
    <t>XY00048</t>
  </si>
  <si>
    <t>XY00049</t>
  </si>
  <si>
    <t>XY00050</t>
  </si>
  <si>
    <t>XY00170</t>
  </si>
  <si>
    <t>XY00171</t>
  </si>
  <si>
    <t>XY00172</t>
  </si>
  <si>
    <t>XY00173</t>
  </si>
  <si>
    <t>XY00174</t>
  </si>
  <si>
    <t>XY00175</t>
  </si>
  <si>
    <t>XY00176</t>
  </si>
  <si>
    <t>XY00177</t>
  </si>
  <si>
    <t>XY00178</t>
  </si>
  <si>
    <t>XY00179</t>
  </si>
  <si>
    <t>XY00180</t>
  </si>
  <si>
    <t>XY00181</t>
  </si>
  <si>
    <t>XY00182</t>
  </si>
  <si>
    <t>XY00183</t>
  </si>
  <si>
    <t>XY00184</t>
  </si>
  <si>
    <t>XY00185</t>
  </si>
  <si>
    <t>XY00186</t>
  </si>
  <si>
    <t>XY00193</t>
  </si>
  <si>
    <t>XY00195</t>
  </si>
  <si>
    <t>XY00196</t>
  </si>
  <si>
    <t>XY00208</t>
  </si>
  <si>
    <t>XY00209</t>
  </si>
  <si>
    <t>XY00210</t>
  </si>
  <si>
    <t>XY00211</t>
  </si>
  <si>
    <t>XY00223</t>
  </si>
  <si>
    <t>XY00221</t>
  </si>
  <si>
    <t>XY00222</t>
  </si>
  <si>
    <t>XY00224</t>
  </si>
  <si>
    <t>XY00225</t>
  </si>
  <si>
    <t>XY00226</t>
  </si>
  <si>
    <t>XY00235</t>
  </si>
  <si>
    <t>XY00236</t>
  </si>
  <si>
    <t>XY00237</t>
  </si>
  <si>
    <t>XY00238</t>
  </si>
  <si>
    <t>XY00239</t>
  </si>
  <si>
    <t>XY00367</t>
  </si>
  <si>
    <t>XY00468</t>
  </si>
  <si>
    <t>XY00469</t>
  </si>
  <si>
    <t>XY00470</t>
  </si>
  <si>
    <t>XY00471</t>
  </si>
  <si>
    <t>XY00472</t>
  </si>
  <si>
    <t>XY00473</t>
  </si>
  <si>
    <t>XY00474</t>
  </si>
  <si>
    <t>XY00521</t>
  </si>
  <si>
    <t>XY00522</t>
  </si>
  <si>
    <t>XY00550</t>
  </si>
  <si>
    <t>XY00572</t>
  </si>
  <si>
    <t>XY00573</t>
  </si>
  <si>
    <t>XY00574</t>
  </si>
  <si>
    <t>XY00575</t>
  </si>
  <si>
    <t>XY00578</t>
  </si>
  <si>
    <t>XY00579</t>
  </si>
  <si>
    <t>XY00588</t>
  </si>
  <si>
    <t>XY00597</t>
  </si>
  <si>
    <t>XY00596</t>
  </si>
  <si>
    <t>XY00598</t>
  </si>
  <si>
    <t>XY00599</t>
  </si>
  <si>
    <t>XY00600</t>
  </si>
  <si>
    <t>XY00601</t>
  </si>
  <si>
    <t>XY00602</t>
  </si>
  <si>
    <t>XY00605</t>
  </si>
  <si>
    <t>XY00606</t>
  </si>
  <si>
    <t>XY00607</t>
  </si>
  <si>
    <t>XY00608</t>
  </si>
  <si>
    <t>XY00609</t>
  </si>
  <si>
    <t>N770472</t>
  </si>
  <si>
    <t>XY00031</t>
  </si>
  <si>
    <t>XY00061</t>
  </si>
  <si>
    <t>XY00366</t>
  </si>
  <si>
    <t>S202212471</t>
  </si>
  <si>
    <t>XY00379</t>
  </si>
  <si>
    <t>XY00389</t>
  </si>
  <si>
    <t>Years</t>
  </si>
  <si>
    <t>Zhongli LA</t>
  </si>
  <si>
    <t>Funciona</t>
  </si>
  <si>
    <t>ALMACEN</t>
  </si>
  <si>
    <t>EMBARQUES</t>
  </si>
  <si>
    <t>CALIDAD</t>
  </si>
  <si>
    <t>RETRABAJO</t>
  </si>
  <si>
    <t>INCOMMING (QA)</t>
  </si>
  <si>
    <t>TALLER</t>
  </si>
  <si>
    <t>JONAS'S PLACE</t>
  </si>
  <si>
    <t>ATO QA</t>
  </si>
  <si>
    <t>Estacion movil (POC)</t>
  </si>
  <si>
    <t>ATO (assy 3)</t>
  </si>
  <si>
    <t>ATO (test 3)</t>
  </si>
  <si>
    <t>TEST ONT</t>
  </si>
  <si>
    <t>TES ONT</t>
  </si>
  <si>
    <t>ATO (assy 2)</t>
  </si>
  <si>
    <t>CARLOS/SALVADOR SUPERVISOR POC</t>
  </si>
  <si>
    <t>ALMACEN SMK</t>
  </si>
  <si>
    <t>BOX 7</t>
  </si>
  <si>
    <t>BOX PDA</t>
  </si>
  <si>
    <t>RECIBO</t>
  </si>
  <si>
    <t>ATO linea 3 ensamble</t>
  </si>
  <si>
    <t>ATO ONT QA</t>
  </si>
  <si>
    <t>ATO transceiver</t>
  </si>
  <si>
    <t>Corte de cable</t>
  </si>
  <si>
    <t>ATO ONT packing</t>
  </si>
  <si>
    <t>POC linea 1</t>
  </si>
  <si>
    <t>Almacen movil</t>
  </si>
  <si>
    <t>Rework</t>
  </si>
  <si>
    <t>POC linea 2</t>
  </si>
  <si>
    <t>POC linea 3</t>
  </si>
  <si>
    <t>Green power</t>
  </si>
  <si>
    <t>POC movil</t>
  </si>
  <si>
    <t>ATO movil</t>
  </si>
  <si>
    <t>ATO linea 2 ensamble</t>
  </si>
  <si>
    <t>Office CFT</t>
  </si>
  <si>
    <t>ATO ONT ensamble</t>
  </si>
  <si>
    <t>IMMEX Huawei</t>
  </si>
  <si>
    <t>XY00271</t>
  </si>
  <si>
    <t>ATO VOLTEADORA</t>
  </si>
  <si>
    <t>NO FUNCIONA</t>
  </si>
  <si>
    <t>XY00274</t>
  </si>
  <si>
    <t>LINEA 3 ATO</t>
  </si>
  <si>
    <t>LINEA 2 ATO</t>
  </si>
  <si>
    <t>OFICINAS CFT</t>
  </si>
  <si>
    <t>Finanzas</t>
  </si>
  <si>
    <t>XY00352</t>
  </si>
  <si>
    <t>U64180L2N925527</t>
  </si>
  <si>
    <t>HL-6210DW</t>
  </si>
  <si>
    <t>XY00610</t>
  </si>
  <si>
    <t>XY00604</t>
  </si>
  <si>
    <t xml:space="preserve">ALMACEN  </t>
  </si>
  <si>
    <t xml:space="preserve">ATO  </t>
  </si>
  <si>
    <t>TOOL ROOM</t>
  </si>
  <si>
    <t>NO</t>
  </si>
  <si>
    <t>ATO Linea 1</t>
  </si>
  <si>
    <t>No works</t>
  </si>
  <si>
    <t>ATO Entrance</t>
  </si>
  <si>
    <t>ATO linea 2</t>
  </si>
  <si>
    <t>Retrabajo</t>
  </si>
  <si>
    <t>CESAR</t>
  </si>
  <si>
    <t>GP</t>
  </si>
  <si>
    <t>IMMEX</t>
  </si>
  <si>
    <t>GREEN POWER</t>
  </si>
  <si>
    <t>ARMANDO IT</t>
  </si>
  <si>
    <t>VOLTEADORA</t>
  </si>
  <si>
    <t>SHIPING</t>
  </si>
  <si>
    <t>XY00611</t>
  </si>
  <si>
    <t>XY00612</t>
  </si>
  <si>
    <t>OFFICES C4</t>
  </si>
  <si>
    <t>VNBRP4T5TC</t>
  </si>
  <si>
    <t>CNB2MD1SLZ</t>
  </si>
  <si>
    <t>ATO TV</t>
  </si>
  <si>
    <t>BASE AMARILLA</t>
  </si>
  <si>
    <t>LINEA 2 POC</t>
  </si>
  <si>
    <t>LINEA 1 POC</t>
  </si>
  <si>
    <t>U66650J4N451621</t>
  </si>
  <si>
    <t>U66650J4N450924</t>
  </si>
  <si>
    <t>DEMAGED</t>
  </si>
  <si>
    <t>ZL0104143</t>
  </si>
  <si>
    <t>N770476</t>
  </si>
  <si>
    <t>ONT</t>
  </si>
  <si>
    <t>1829SCF0MGW8</t>
  </si>
  <si>
    <t>XY00262</t>
  </si>
  <si>
    <t>C20A</t>
  </si>
  <si>
    <t>rack</t>
  </si>
  <si>
    <t xml:space="preserve">IT ROOM </t>
  </si>
  <si>
    <t>XY00003</t>
  </si>
  <si>
    <t>QA ATO</t>
  </si>
  <si>
    <t>1806SCF0C1K8</t>
  </si>
  <si>
    <t>XY00265</t>
  </si>
  <si>
    <t>Hector H</t>
  </si>
  <si>
    <t>No USB</t>
  </si>
  <si>
    <t>BATERIA</t>
  </si>
  <si>
    <t>CANON</t>
  </si>
  <si>
    <t>D30</t>
  </si>
  <si>
    <t>XY00155</t>
  </si>
  <si>
    <t>XY00156</t>
  </si>
  <si>
    <t>NIKON</t>
  </si>
  <si>
    <t>W300</t>
  </si>
  <si>
    <t>XY00157</t>
  </si>
  <si>
    <t>XY00163</t>
  </si>
  <si>
    <t>Security</t>
  </si>
  <si>
    <t>No used</t>
  </si>
  <si>
    <t>HUAWEI IMMEX</t>
  </si>
  <si>
    <t>Damged</t>
  </si>
  <si>
    <t>XY00613</t>
  </si>
  <si>
    <t>XY00614</t>
  </si>
  <si>
    <t>Batteries issue</t>
  </si>
  <si>
    <t>Deluxe hand saber</t>
  </si>
  <si>
    <t>H-1588</t>
  </si>
  <si>
    <t>U66650L5N819303</t>
  </si>
  <si>
    <t>U66650L5N819306</t>
  </si>
  <si>
    <t>XY00615</t>
  </si>
  <si>
    <t>Impresora de Credenciales</t>
  </si>
  <si>
    <t>ZEBRA</t>
  </si>
  <si>
    <t>C1J252100423</t>
  </si>
  <si>
    <t>ZC100</t>
  </si>
  <si>
    <t>HR</t>
  </si>
  <si>
    <t>Xinya</t>
  </si>
  <si>
    <t>[LA/RH]RH</t>
  </si>
  <si>
    <t>Impresora de Etiquetas</t>
  </si>
  <si>
    <t>P-Touch PRO</t>
  </si>
  <si>
    <t>U65894J5U495862</t>
  </si>
  <si>
    <t>XY00616</t>
  </si>
  <si>
    <t>[LA/IT]IT</t>
  </si>
  <si>
    <t>Charger</t>
  </si>
  <si>
    <t>T9</t>
  </si>
  <si>
    <t>XY00617</t>
  </si>
  <si>
    <t>XINYA</t>
  </si>
  <si>
    <t>XY00618</t>
  </si>
  <si>
    <t>XY00619</t>
  </si>
  <si>
    <t>XY00620</t>
  </si>
  <si>
    <t>XY00621</t>
  </si>
  <si>
    <t>XY00622</t>
  </si>
  <si>
    <t>XY00623</t>
  </si>
  <si>
    <t>XY00624</t>
  </si>
  <si>
    <t>GSB 183-LI</t>
  </si>
  <si>
    <t>XY00625</t>
  </si>
  <si>
    <t>XY00626</t>
  </si>
  <si>
    <t>DATALOGIC</t>
  </si>
  <si>
    <t>GBT4500</t>
  </si>
  <si>
    <t>G25L42905</t>
  </si>
  <si>
    <t>G25L42813</t>
  </si>
  <si>
    <t>G25L42895</t>
  </si>
  <si>
    <t>XY00627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</si>
</sst>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80A]General"/>
    <numFmt numFmtId="165" formatCode="0.0%"/>
  </numFmts>
  <fonts count="20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name val="宋体"/>
      <family val="3"/>
      <charset val="134"/>
    </font>
    <font>
      <b/>
      <sz val="11"/>
      <color theme="1"/>
      <name val="Calibri"/>
      <family val="2"/>
      <charset val="1"/>
    </font>
    <font>
      <b/>
      <sz val="14"/>
      <color theme="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TLC"/>
      <charset val="1"/>
    </font>
    <font>
      <sz val="10"/>
      <color theme="1"/>
      <name val="Calibri"/>
      <family val="2"/>
      <charset val="1"/>
    </font>
    <font>
      <sz val="12"/>
      <name val="Arial"/>
      <family val="2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sz val="10"/>
      <name val="Arial"/>
      <family val="2"/>
    </font>
    <font>
      <sz val="11"/>
      <color rgb="FF0F111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rgb="FFFF0000"/>
        <bgColor rgb="FF993300"/>
      </patternFill>
    </fill>
    <fill>
      <patternFill patternType="solid">
        <fgColor rgb="FF92D050"/>
        <bgColor rgb="FFAFABAB"/>
      </patternFill>
    </fill>
    <fill>
      <patternFill patternType="solid">
        <fgColor rgb="FF00B0F0"/>
        <bgColor rgb="FF33CCCC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AFABAB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AFABAB"/>
      </patternFill>
    </fill>
    <fill>
      <patternFill patternType="solid">
        <fgColor rgb="FFEE0000"/>
        <bgColor indexed="64"/>
      </patternFill>
    </fill>
    <fill>
      <patternFill patternType="solid">
        <fgColor rgb="FF00B0F0"/>
        <bgColor rgb="FFAFABAB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AFABAB"/>
      </patternFill>
    </fill>
    <fill>
      <patternFill patternType="solid">
        <fgColor rgb="FFFFC000"/>
        <bgColor rgb="FFAFABAB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4">
    <xf numFmtId="0" fontId="0" fillId="0" borderId="0"/>
    <xf numFmtId="9" fontId="12" fillId="0" borderId="0" applyBorder="0" applyProtection="0"/>
    <xf numFmtId="0" fontId="3" fillId="0" borderId="0"/>
    <xf numFmtId="0" fontId="12" fillId="0" borderId="0"/>
    <xf numFmtId="0" fontId="4" fillId="0" borderId="0">
      <alignment vertical="center"/>
    </xf>
    <xf numFmtId="164" fontId="7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4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8" fillId="0" borderId="0"/>
  </cellStyleXfs>
  <cellXfs count="3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1" fontId="6" fillId="2" borderId="3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/>
    </xf>
    <xf numFmtId="14" fontId="6" fillId="2" borderId="0" xfId="0" applyNumberFormat="1" applyFont="1" applyFill="1" applyAlignment="1">
      <alignment horizontal="center"/>
    </xf>
    <xf numFmtId="0" fontId="5" fillId="3" borderId="4" xfId="0" applyFont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7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49" fontId="0" fillId="0" borderId="4" xfId="0" applyNumberFormat="1" applyBorder="1" applyAlignment="1">
      <alignment horizontal="center" vertical="center"/>
    </xf>
    <xf numFmtId="164" fontId="7" fillId="3" borderId="4" xfId="5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164" fontId="0" fillId="3" borderId="4" xfId="0" applyNumberFormat="1" applyFill="1" applyBorder="1" applyAlignment="1">
      <alignment horizontal="center" vertical="center"/>
    </xf>
    <xf numFmtId="0" fontId="8" fillId="3" borderId="4" xfId="4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/>
    </xf>
    <xf numFmtId="0" fontId="0" fillId="0" borderId="7" xfId="0" applyBorder="1" applyAlignment="1">
      <alignment horizontal="left"/>
    </xf>
    <xf numFmtId="1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1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/>
    </xf>
    <xf numFmtId="1" fontId="0" fillId="3" borderId="7" xfId="0" applyNumberFormat="1" applyFill="1" applyBorder="1" applyAlignment="1">
      <alignment horizontal="center" vertical="center"/>
    </xf>
    <xf numFmtId="14" fontId="0" fillId="3" borderId="7" xfId="0" applyNumberFormat="1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/>
    </xf>
    <xf numFmtId="1" fontId="0" fillId="4" borderId="4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1" fontId="0" fillId="5" borderId="4" xfId="0" applyNumberForma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0" fillId="6" borderId="4" xfId="0" applyFill="1" applyBorder="1" applyAlignment="1">
      <alignment horizontal="left"/>
    </xf>
    <xf numFmtId="0" fontId="0" fillId="6" borderId="4" xfId="0" applyFill="1" applyBorder="1" applyAlignment="1">
      <alignment horizontal="center"/>
    </xf>
    <xf numFmtId="1" fontId="0" fillId="6" borderId="4" xfId="0" applyNumberFormat="1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14" fontId="0" fillId="6" borderId="5" xfId="0" applyNumberFormat="1" applyFill="1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1" fontId="8" fillId="6" borderId="4" xfId="0" applyNumberFormat="1" applyFont="1" applyFill="1" applyBorder="1" applyAlignment="1">
      <alignment horizontal="center" vertical="center"/>
    </xf>
    <xf numFmtId="14" fontId="8" fillId="6" borderId="4" xfId="0" applyNumberFormat="1" applyFont="1" applyFill="1" applyBorder="1" applyAlignment="1">
      <alignment horizontal="center" vertical="center"/>
    </xf>
    <xf numFmtId="14" fontId="8" fillId="6" borderId="5" xfId="0" applyNumberFormat="1" applyFont="1" applyFill="1" applyBorder="1" applyAlignment="1">
      <alignment horizontal="center"/>
    </xf>
    <xf numFmtId="14" fontId="8" fillId="6" borderId="4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49" fontId="0" fillId="3" borderId="5" xfId="0" applyNumberFormat="1" applyFill="1" applyBorder="1" applyAlignment="1">
      <alignment horizontal="center" vertical="center"/>
    </xf>
    <xf numFmtId="0" fontId="0" fillId="3" borderId="4" xfId="0" applyFill="1" applyBorder="1"/>
    <xf numFmtId="1" fontId="0" fillId="5" borderId="0" xfId="0" applyNumberFormat="1" applyFill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164" fontId="0" fillId="5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wrapText="1"/>
    </xf>
    <xf numFmtId="0" fontId="0" fillId="3" borderId="4" xfId="0" applyFill="1" applyBorder="1" applyAlignment="1">
      <alignment horizontal="left" wrapText="1"/>
    </xf>
    <xf numFmtId="164" fontId="0" fillId="0" borderId="4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/>
    <xf numFmtId="0" fontId="0" fillId="3" borderId="9" xfId="0" applyFill="1" applyBorder="1" applyAlignment="1">
      <alignment horizontal="left"/>
    </xf>
    <xf numFmtId="1" fontId="0" fillId="3" borderId="9" xfId="0" applyNumberFormat="1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4" fontId="0" fillId="3" borderId="10" xfId="0" applyNumberFormat="1" applyFill="1" applyBorder="1" applyAlignment="1">
      <alignment horizontal="center"/>
    </xf>
    <xf numFmtId="0" fontId="0" fillId="3" borderId="9" xfId="0" applyFill="1" applyBorder="1"/>
    <xf numFmtId="0" fontId="0" fillId="0" borderId="9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12" fillId="0" borderId="4" xfId="3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vertical="top" wrapText="1"/>
    </xf>
    <xf numFmtId="0" fontId="8" fillId="6" borderId="9" xfId="0" applyFont="1" applyFill="1" applyBorder="1" applyAlignment="1">
      <alignment horizontal="left"/>
    </xf>
    <xf numFmtId="0" fontId="0" fillId="6" borderId="9" xfId="0" applyFill="1" applyBorder="1" applyAlignment="1">
      <alignment horizontal="center"/>
    </xf>
    <xf numFmtId="1" fontId="0" fillId="6" borderId="9" xfId="0" applyNumberFormat="1" applyFill="1" applyBorder="1" applyAlignment="1">
      <alignment horizontal="center" vertical="center"/>
    </xf>
    <xf numFmtId="14" fontId="0" fillId="6" borderId="9" xfId="0" applyNumberFormat="1" applyFill="1" applyBorder="1" applyAlignment="1">
      <alignment horizontal="center" vertical="center"/>
    </xf>
    <xf numFmtId="14" fontId="0" fillId="6" borderId="10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 vertical="center"/>
    </xf>
    <xf numFmtId="14" fontId="0" fillId="8" borderId="5" xfId="0" applyNumberFormat="1" applyFill="1" applyBorder="1" applyAlignment="1">
      <alignment horizontal="center"/>
    </xf>
    <xf numFmtId="0" fontId="12" fillId="3" borderId="4" xfId="3" applyFill="1" applyBorder="1" applyAlignment="1">
      <alignment horizontal="left"/>
    </xf>
    <xf numFmtId="1" fontId="0" fillId="3" borderId="4" xfId="0" applyNumberFormat="1" applyFill="1" applyBorder="1" applyAlignment="1">
      <alignment horizontal="center" vertical="center" wrapText="1"/>
    </xf>
    <xf numFmtId="0" fontId="12" fillId="3" borderId="4" xfId="3" applyFill="1" applyBorder="1" applyAlignment="1">
      <alignment horizontal="center"/>
    </xf>
    <xf numFmtId="0" fontId="12" fillId="3" borderId="4" xfId="3" applyFill="1" applyBorder="1"/>
    <xf numFmtId="0" fontId="0" fillId="6" borderId="4" xfId="0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2" fillId="5" borderId="4" xfId="3" applyFill="1" applyBorder="1"/>
    <xf numFmtId="0" fontId="12" fillId="5" borderId="4" xfId="3" applyFill="1" applyBorder="1" applyAlignment="1">
      <alignment horizontal="center"/>
    </xf>
    <xf numFmtId="14" fontId="0" fillId="5" borderId="4" xfId="0" applyNumberFormat="1" applyFill="1" applyBorder="1" applyAlignment="1">
      <alignment horizontal="center" vertical="center"/>
    </xf>
    <xf numFmtId="14" fontId="0" fillId="5" borderId="4" xfId="0" applyNumberFormat="1" applyFill="1" applyBorder="1" applyAlignment="1">
      <alignment horizontal="center"/>
    </xf>
    <xf numFmtId="0" fontId="0" fillId="5" borderId="0" xfId="0" applyFill="1"/>
    <xf numFmtId="14" fontId="0" fillId="3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12" fillId="6" borderId="4" xfId="3" applyFill="1" applyBorder="1"/>
    <xf numFmtId="0" fontId="12" fillId="6" borderId="4" xfId="3" applyFill="1" applyBorder="1" applyAlignment="1">
      <alignment horizontal="center"/>
    </xf>
    <xf numFmtId="0" fontId="0" fillId="0" borderId="0" xfId="0" applyAlignment="1">
      <alignment horizontal="right"/>
    </xf>
    <xf numFmtId="165" fontId="12" fillId="4" borderId="0" xfId="1" applyNumberFormat="1" applyFill="1" applyBorder="1" applyAlignment="1" applyProtection="1">
      <alignment horizontal="center"/>
    </xf>
    <xf numFmtId="9" fontId="12" fillId="0" borderId="4" xfId="1" applyBorder="1" applyAlignment="1" applyProtection="1">
      <alignment horizontal="center"/>
    </xf>
    <xf numFmtId="0" fontId="6" fillId="2" borderId="11" xfId="0" applyFont="1" applyFill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4" fontId="0" fillId="3" borderId="15" xfId="0" applyNumberFormat="1" applyFill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" fontId="0" fillId="3" borderId="16" xfId="0" applyNumberFormat="1" applyFill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8" borderId="4" xfId="0" applyNumberForma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1" fontId="0" fillId="3" borderId="18" xfId="0" applyNumberForma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14" fontId="0" fillId="0" borderId="21" xfId="0" applyNumberFormat="1" applyBorder="1" applyAlignment="1">
      <alignment horizontal="center"/>
    </xf>
    <xf numFmtId="1" fontId="0" fillId="8" borderId="20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 wrapText="1"/>
    </xf>
    <xf numFmtId="1" fontId="0" fillId="5" borderId="20" xfId="0" applyNumberFormat="1" applyFill="1" applyBorder="1" applyAlignment="1">
      <alignment horizontal="center" vertical="center"/>
    </xf>
    <xf numFmtId="0" fontId="0" fillId="0" borderId="20" xfId="0" applyBorder="1"/>
    <xf numFmtId="14" fontId="0" fillId="0" borderId="23" xfId="0" applyNumberFormat="1" applyBorder="1" applyAlignment="1">
      <alignment horizontal="center"/>
    </xf>
    <xf numFmtId="0" fontId="0" fillId="7" borderId="7" xfId="0" applyFill="1" applyBorder="1" applyAlignment="1">
      <alignment horizontal="left"/>
    </xf>
    <xf numFmtId="0" fontId="0" fillId="7" borderId="7" xfId="0" applyFill="1" applyBorder="1" applyAlignment="1">
      <alignment horizontal="center"/>
    </xf>
    <xf numFmtId="1" fontId="0" fillId="7" borderId="4" xfId="0" applyNumberFormat="1" applyFill="1" applyBorder="1" applyAlignment="1">
      <alignment horizontal="center" vertical="center"/>
    </xf>
    <xf numFmtId="14" fontId="0" fillId="7" borderId="4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left"/>
    </xf>
    <xf numFmtId="49" fontId="0" fillId="7" borderId="4" xfId="0" applyNumberFormat="1" applyFill="1" applyBorder="1" applyAlignment="1">
      <alignment horizontal="center" vertical="center"/>
    </xf>
    <xf numFmtId="14" fontId="0" fillId="7" borderId="4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7" borderId="4" xfId="0" applyFill="1" applyBorder="1"/>
    <xf numFmtId="0" fontId="0" fillId="7" borderId="4" xfId="0" applyFill="1" applyBorder="1" applyAlignment="1">
      <alignment horizontal="left" vertical="center"/>
    </xf>
    <xf numFmtId="1" fontId="0" fillId="7" borderId="4" xfId="0" applyNumberFormat="1" applyFill="1" applyBorder="1" applyAlignment="1">
      <alignment horizontal="center" vertical="center" wrapText="1"/>
    </xf>
    <xf numFmtId="14" fontId="0" fillId="7" borderId="4" xfId="0" applyNumberFormat="1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/>
    </xf>
    <xf numFmtId="1" fontId="0" fillId="7" borderId="9" xfId="0" applyNumberFormat="1" applyFill="1" applyBorder="1" applyAlignment="1">
      <alignment horizontal="center" vertical="center" wrapText="1"/>
    </xf>
    <xf numFmtId="1" fontId="0" fillId="4" borderId="9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left" vertical="center"/>
    </xf>
    <xf numFmtId="1" fontId="0" fillId="7" borderId="9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left"/>
    </xf>
    <xf numFmtId="1" fontId="0" fillId="7" borderId="0" xfId="0" applyNumberFormat="1" applyFill="1" applyAlignment="1">
      <alignment horizontal="center" vertical="center"/>
    </xf>
    <xf numFmtId="49" fontId="0" fillId="7" borderId="4" xfId="0" applyNumberFormat="1" applyFill="1" applyBorder="1" applyAlignment="1">
      <alignment horizontal="center"/>
    </xf>
    <xf numFmtId="1" fontId="7" fillId="0" borderId="4" xfId="0" applyNumberFormat="1" applyFont="1" applyBorder="1" applyAlignment="1">
      <alignment horizontal="center" vertical="center"/>
    </xf>
    <xf numFmtId="0" fontId="0" fillId="7" borderId="4" xfId="0" applyFill="1" applyBorder="1" applyAlignment="1">
      <alignment horizontal="center" wrapText="1"/>
    </xf>
    <xf numFmtId="0" fontId="0" fillId="7" borderId="4" xfId="0" applyFill="1" applyBorder="1" applyAlignment="1">
      <alignment horizontal="left" wrapText="1"/>
    </xf>
    <xf numFmtId="0" fontId="0" fillId="7" borderId="4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/>
    </xf>
    <xf numFmtId="1" fontId="0" fillId="9" borderId="4" xfId="0" applyNumberFormat="1" applyFill="1" applyBorder="1" applyAlignment="1">
      <alignment horizontal="center" vertical="center"/>
    </xf>
    <xf numFmtId="14" fontId="0" fillId="9" borderId="4" xfId="0" applyNumberFormat="1" applyFill="1" applyBorder="1" applyAlignment="1">
      <alignment horizontal="center" vertical="center"/>
    </xf>
    <xf numFmtId="14" fontId="0" fillId="9" borderId="4" xfId="0" applyNumberFormat="1" applyFill="1" applyBorder="1" applyAlignment="1">
      <alignment horizontal="center"/>
    </xf>
    <xf numFmtId="14" fontId="0" fillId="7" borderId="5" xfId="0" applyNumberFormat="1" applyFill="1" applyBorder="1" applyAlignment="1">
      <alignment horizontal="center"/>
    </xf>
    <xf numFmtId="9" fontId="12" fillId="0" borderId="7" xfId="1" applyBorder="1" applyAlignment="1" applyProtection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4" fontId="6" fillId="2" borderId="5" xfId="0" applyNumberFormat="1" applyFont="1" applyFill="1" applyBorder="1" applyAlignment="1">
      <alignment horizontal="center"/>
    </xf>
    <xf numFmtId="14" fontId="6" fillId="2" borderId="4" xfId="0" applyNumberFormat="1" applyFont="1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0" fillId="0" borderId="4" xfId="0" applyBorder="1" applyAlignment="1">
      <alignment horizontal="left" wrapText="1"/>
    </xf>
    <xf numFmtId="0" fontId="0" fillId="10" borderId="4" xfId="0" applyFill="1" applyBorder="1" applyAlignment="1">
      <alignment horizontal="center"/>
    </xf>
    <xf numFmtId="1" fontId="0" fillId="10" borderId="4" xfId="0" applyNumberFormat="1" applyFill="1" applyBorder="1" applyAlignment="1">
      <alignment horizontal="center" vertical="center"/>
    </xf>
    <xf numFmtId="14" fontId="0" fillId="10" borderId="5" xfId="0" applyNumberFormat="1" applyFill="1" applyBorder="1" applyAlignment="1">
      <alignment horizontal="center"/>
    </xf>
    <xf numFmtId="14" fontId="0" fillId="10" borderId="4" xfId="0" applyNumberFormat="1" applyFill="1" applyBorder="1" applyAlignment="1">
      <alignment horizontal="center"/>
    </xf>
    <xf numFmtId="0" fontId="0" fillId="10" borderId="4" xfId="0" applyFill="1" applyBorder="1"/>
    <xf numFmtId="0" fontId="0" fillId="10" borderId="4" xfId="0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14" fontId="1" fillId="13" borderId="4" xfId="10" applyNumberFormat="1" applyFill="1" applyBorder="1" applyAlignment="1">
      <alignment horizontal="center" vertical="center"/>
    </xf>
    <xf numFmtId="0" fontId="1" fillId="13" borderId="4" xfId="10" applyFill="1" applyBorder="1" applyAlignment="1">
      <alignment horizontal="center"/>
    </xf>
    <xf numFmtId="0" fontId="1" fillId="16" borderId="0" xfId="10" applyFill="1"/>
    <xf numFmtId="0" fontId="1" fillId="17" borderId="4" xfId="11" applyFill="1" applyBorder="1" applyAlignment="1">
      <alignment horizontal="left" vertical="center"/>
    </xf>
    <xf numFmtId="0" fontId="1" fillId="17" borderId="4" xfId="11" applyFill="1" applyBorder="1" applyAlignment="1">
      <alignment horizontal="center" vertical="center"/>
    </xf>
    <xf numFmtId="1" fontId="1" fillId="17" borderId="4" xfId="10" applyNumberFormat="1" applyFill="1" applyBorder="1" applyAlignment="1">
      <alignment horizontal="center" vertical="center"/>
    </xf>
    <xf numFmtId="0" fontId="1" fillId="17" borderId="4" xfId="10" applyFill="1" applyBorder="1" applyAlignment="1">
      <alignment horizontal="center" vertical="center"/>
    </xf>
    <xf numFmtId="0" fontId="1" fillId="17" borderId="0" xfId="10" applyFill="1"/>
    <xf numFmtId="0" fontId="15" fillId="0" borderId="0" xfId="0" applyFont="1" applyAlignment="1">
      <alignment horizontal="center"/>
    </xf>
    <xf numFmtId="14" fontId="1" fillId="15" borderId="4" xfId="10" applyNumberFormat="1" applyFill="1" applyBorder="1" applyAlignment="1">
      <alignment horizontal="center"/>
    </xf>
    <xf numFmtId="0" fontId="0" fillId="18" borderId="4" xfId="0" applyFill="1" applyBorder="1" applyAlignment="1">
      <alignment horizontal="left"/>
    </xf>
    <xf numFmtId="0" fontId="0" fillId="18" borderId="4" xfId="0" applyFill="1" applyBorder="1" applyAlignment="1">
      <alignment horizontal="center"/>
    </xf>
    <xf numFmtId="0" fontId="0" fillId="18" borderId="4" xfId="0" applyFill="1" applyBorder="1" applyAlignment="1">
      <alignment horizontal="center" wrapText="1"/>
    </xf>
    <xf numFmtId="1" fontId="0" fillId="18" borderId="4" xfId="0" applyNumberFormat="1" applyFill="1" applyBorder="1" applyAlignment="1">
      <alignment horizontal="center" vertical="center"/>
    </xf>
    <xf numFmtId="14" fontId="0" fillId="18" borderId="4" xfId="0" applyNumberFormat="1" applyFill="1" applyBorder="1" applyAlignment="1">
      <alignment horizontal="center" vertical="center"/>
    </xf>
    <xf numFmtId="14" fontId="0" fillId="18" borderId="4" xfId="0" applyNumberFormat="1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0" borderId="0" xfId="0" applyFill="1" applyAlignment="1">
      <alignment horizontal="center"/>
    </xf>
    <xf numFmtId="14" fontId="0" fillId="18" borderId="5" xfId="0" applyNumberFormat="1" applyFill="1" applyBorder="1" applyAlignment="1">
      <alignment horizontal="center"/>
    </xf>
    <xf numFmtId="0" fontId="0" fillId="18" borderId="4" xfId="0" applyFill="1" applyBorder="1"/>
    <xf numFmtId="0" fontId="0" fillId="18" borderId="4" xfId="0" applyFill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0" fillId="20" borderId="4" xfId="0" applyFill="1" applyBorder="1"/>
    <xf numFmtId="0" fontId="0" fillId="20" borderId="4" xfId="0" applyFill="1" applyBorder="1" applyAlignment="1">
      <alignment horizontal="center"/>
    </xf>
    <xf numFmtId="14" fontId="0" fillId="20" borderId="5" xfId="0" applyNumberFormat="1" applyFill="1" applyBorder="1" applyAlignment="1">
      <alignment horizontal="center"/>
    </xf>
    <xf numFmtId="0" fontId="0" fillId="20" borderId="4" xfId="0" applyFill="1" applyBorder="1" applyAlignment="1">
      <alignment horizontal="left"/>
    </xf>
    <xf numFmtId="0" fontId="0" fillId="20" borderId="5" xfId="0" applyFill="1" applyBorder="1" applyAlignment="1">
      <alignment horizontal="center"/>
    </xf>
    <xf numFmtId="0" fontId="0" fillId="20" borderId="4" xfId="0" applyFill="1" applyBorder="1" applyAlignment="1">
      <alignment horizontal="center" vertical="center"/>
    </xf>
    <xf numFmtId="0" fontId="11" fillId="20" borderId="4" xfId="0" applyFont="1" applyFill="1" applyBorder="1" applyAlignment="1">
      <alignment horizontal="center" vertical="center" wrapText="1"/>
    </xf>
    <xf numFmtId="1" fontId="0" fillId="20" borderId="4" xfId="0" applyNumberFormat="1" applyFill="1" applyBorder="1" applyAlignment="1">
      <alignment horizontal="center" vertical="center"/>
    </xf>
    <xf numFmtId="14" fontId="0" fillId="20" borderId="5" xfId="0" applyNumberFormat="1" applyFill="1" applyBorder="1" applyAlignment="1">
      <alignment horizontal="center" vertical="center"/>
    </xf>
    <xf numFmtId="1" fontId="0" fillId="20" borderId="5" xfId="0" applyNumberFormat="1" applyFill="1" applyBorder="1" applyAlignment="1">
      <alignment horizontal="center" vertical="center"/>
    </xf>
    <xf numFmtId="0" fontId="0" fillId="12" borderId="4" xfId="0" applyFill="1" applyBorder="1" applyAlignment="1">
      <alignment horizontal="center"/>
    </xf>
    <xf numFmtId="14" fontId="0" fillId="12" borderId="5" xfId="0" applyNumberFormat="1" applyFill="1" applyBorder="1" applyAlignment="1">
      <alignment horizontal="center"/>
    </xf>
    <xf numFmtId="49" fontId="0" fillId="12" borderId="4" xfId="0" applyNumberFormat="1" applyFill="1" applyBorder="1" applyAlignment="1">
      <alignment horizontal="center"/>
    </xf>
    <xf numFmtId="0" fontId="0" fillId="20" borderId="4" xfId="0" applyFill="1" applyBorder="1" applyAlignment="1">
      <alignment vertical="center"/>
    </xf>
    <xf numFmtId="0" fontId="0" fillId="12" borderId="4" xfId="0" applyFill="1" applyBorder="1"/>
    <xf numFmtId="14" fontId="0" fillId="20" borderId="4" xfId="0" applyNumberFormat="1" applyFill="1" applyBorder="1" applyAlignment="1">
      <alignment horizontal="center"/>
    </xf>
    <xf numFmtId="1" fontId="0" fillId="20" borderId="4" xfId="0" applyNumberFormat="1" applyFill="1" applyBorder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19" borderId="4" xfId="0" applyFont="1" applyFill="1" applyBorder="1" applyAlignment="1">
      <alignment horizontal="center" vertical="top" wrapText="1"/>
    </xf>
    <xf numFmtId="0" fontId="0" fillId="19" borderId="4" xfId="0" applyFill="1" applyBorder="1" applyAlignment="1">
      <alignment horizontal="center"/>
    </xf>
    <xf numFmtId="14" fontId="0" fillId="19" borderId="5" xfId="0" applyNumberFormat="1" applyFill="1" applyBorder="1" applyAlignment="1">
      <alignment horizontal="center"/>
    </xf>
    <xf numFmtId="0" fontId="0" fillId="19" borderId="4" xfId="0" applyFill="1" applyBorder="1" applyAlignment="1">
      <alignment horizontal="left"/>
    </xf>
    <xf numFmtId="0" fontId="7" fillId="21" borderId="4" xfId="0" applyFont="1" applyFill="1" applyBorder="1" applyAlignment="1">
      <alignment horizontal="center" vertical="top" wrapText="1"/>
    </xf>
    <xf numFmtId="0" fontId="0" fillId="21" borderId="4" xfId="0" applyFill="1" applyBorder="1" applyAlignment="1">
      <alignment horizontal="center"/>
    </xf>
    <xf numFmtId="14" fontId="0" fillId="21" borderId="5" xfId="0" applyNumberFormat="1" applyFill="1" applyBorder="1" applyAlignment="1">
      <alignment horizontal="center"/>
    </xf>
    <xf numFmtId="0" fontId="0" fillId="21" borderId="4" xfId="0" applyFill="1" applyBorder="1" applyAlignment="1">
      <alignment horizontal="left"/>
    </xf>
    <xf numFmtId="0" fontId="0" fillId="21" borderId="9" xfId="0" applyFill="1" applyBorder="1" applyAlignment="1">
      <alignment horizontal="left"/>
    </xf>
    <xf numFmtId="0" fontId="0" fillId="21" borderId="6" xfId="0" applyFill="1" applyBorder="1" applyAlignment="1">
      <alignment horizontal="left"/>
    </xf>
    <xf numFmtId="0" fontId="0" fillId="21" borderId="7" xfId="0" applyFill="1" applyBorder="1" applyAlignment="1">
      <alignment horizontal="left"/>
    </xf>
    <xf numFmtId="0" fontId="0" fillId="14" borderId="4" xfId="0" applyFill="1" applyBorder="1" applyAlignment="1">
      <alignment horizontal="center"/>
    </xf>
    <xf numFmtId="49" fontId="0" fillId="14" borderId="4" xfId="0" applyNumberFormat="1" applyFill="1" applyBorder="1" applyAlignment="1">
      <alignment horizontal="center"/>
    </xf>
    <xf numFmtId="14" fontId="0" fillId="14" borderId="5" xfId="0" applyNumberFormat="1" applyFill="1" applyBorder="1" applyAlignment="1">
      <alignment horizontal="center"/>
    </xf>
    <xf numFmtId="14" fontId="0" fillId="21" borderId="10" xfId="0" applyNumberFormat="1" applyFill="1" applyBorder="1" applyAlignment="1">
      <alignment horizontal="center"/>
    </xf>
    <xf numFmtId="14" fontId="0" fillId="21" borderId="25" xfId="0" applyNumberFormat="1" applyFill="1" applyBorder="1" applyAlignment="1">
      <alignment horizontal="center"/>
    </xf>
    <xf numFmtId="14" fontId="0" fillId="21" borderId="8" xfId="0" applyNumberFormat="1" applyFill="1" applyBorder="1" applyAlignment="1">
      <alignment horizontal="center"/>
    </xf>
    <xf numFmtId="2" fontId="0" fillId="20" borderId="5" xfId="0" applyNumberFormat="1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20" borderId="5" xfId="0" applyNumberFormat="1" applyFill="1" applyBorder="1" applyAlignment="1">
      <alignment horizontal="center" vertical="center"/>
    </xf>
    <xf numFmtId="2" fontId="0" fillId="14" borderId="5" xfId="0" applyNumberFormat="1" applyFill="1" applyBorder="1" applyAlignment="1">
      <alignment horizontal="center"/>
    </xf>
    <xf numFmtId="2" fontId="0" fillId="19" borderId="5" xfId="0" applyNumberFormat="1" applyFill="1" applyBorder="1" applyAlignment="1">
      <alignment horizontal="center"/>
    </xf>
    <xf numFmtId="2" fontId="0" fillId="21" borderId="5" xfId="0" applyNumberFormat="1" applyFill="1" applyBorder="1" applyAlignment="1">
      <alignment horizontal="center"/>
    </xf>
    <xf numFmtId="2" fontId="0" fillId="12" borderId="5" xfId="0" applyNumberFormat="1" applyFill="1" applyBorder="1" applyAlignment="1">
      <alignment horizontal="center"/>
    </xf>
    <xf numFmtId="14" fontId="0" fillId="20" borderId="4" xfId="0" applyNumberFormat="1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3" fillId="14" borderId="4" xfId="2" applyFill="1" applyBorder="1" applyAlignment="1">
      <alignment horizontal="center"/>
    </xf>
    <xf numFmtId="0" fontId="3" fillId="12" borderId="4" xfId="2" applyFill="1" applyBorder="1" applyAlignment="1">
      <alignment horizontal="center"/>
    </xf>
    <xf numFmtId="0" fontId="0" fillId="17" borderId="4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/>
    </xf>
    <xf numFmtId="14" fontId="0" fillId="17" borderId="5" xfId="0" applyNumberFormat="1" applyFill="1" applyBorder="1" applyAlignment="1">
      <alignment horizontal="center"/>
    </xf>
    <xf numFmtId="2" fontId="0" fillId="17" borderId="5" xfId="0" applyNumberFormat="1" applyFill="1" applyBorder="1" applyAlignment="1">
      <alignment horizontal="center"/>
    </xf>
    <xf numFmtId="49" fontId="0" fillId="17" borderId="4" xfId="0" applyNumberFormat="1" applyFill="1" applyBorder="1" applyAlignment="1">
      <alignment horizontal="center"/>
    </xf>
    <xf numFmtId="0" fontId="3" fillId="17" borderId="4" xfId="2" applyFill="1" applyBorder="1" applyAlignment="1">
      <alignment horizontal="center"/>
    </xf>
    <xf numFmtId="1" fontId="0" fillId="17" borderId="4" xfId="0" applyNumberFormat="1" applyFill="1" applyBorder="1" applyAlignment="1">
      <alignment horizontal="center" vertical="center"/>
    </xf>
    <xf numFmtId="0" fontId="17" fillId="17" borderId="4" xfId="0" applyFont="1" applyFill="1" applyBorder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14" fontId="10" fillId="17" borderId="4" xfId="0" applyNumberFormat="1" applyFont="1" applyFill="1" applyBorder="1" applyAlignment="1">
      <alignment horizontal="center" vertical="center"/>
    </xf>
    <xf numFmtId="2" fontId="0" fillId="7" borderId="5" xfId="0" applyNumberFormat="1" applyFill="1" applyBorder="1" applyAlignment="1">
      <alignment horizontal="center"/>
    </xf>
    <xf numFmtId="14" fontId="0" fillId="17" borderId="4" xfId="0" applyNumberFormat="1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14" fontId="0" fillId="17" borderId="5" xfId="0" applyNumberFormat="1" applyFill="1" applyBorder="1" applyAlignment="1">
      <alignment horizontal="center" vertical="center"/>
    </xf>
    <xf numFmtId="2" fontId="0" fillId="17" borderId="5" xfId="0" applyNumberFormat="1" applyFill="1" applyBorder="1" applyAlignment="1">
      <alignment horizontal="center" vertical="center"/>
    </xf>
    <xf numFmtId="1" fontId="10" fillId="17" borderId="4" xfId="0" applyNumberFormat="1" applyFont="1" applyFill="1" applyBorder="1" applyAlignment="1">
      <alignment horizontal="center" vertical="center"/>
    </xf>
    <xf numFmtId="2" fontId="0" fillId="17" borderId="4" xfId="0" applyNumberFormat="1" applyFill="1" applyBorder="1" applyAlignment="1">
      <alignment horizontal="center"/>
    </xf>
    <xf numFmtId="0" fontId="10" fillId="17" borderId="4" xfId="0" applyFont="1" applyFill="1" applyBorder="1" applyAlignment="1">
      <alignment horizontal="center"/>
    </xf>
    <xf numFmtId="1" fontId="0" fillId="14" borderId="4" xfId="0" applyNumberFormat="1" applyFill="1" applyBorder="1" applyAlignment="1">
      <alignment horizontal="center" vertical="center"/>
    </xf>
    <xf numFmtId="14" fontId="0" fillId="14" borderId="5" xfId="0" applyNumberFormat="1" applyFill="1" applyBorder="1" applyAlignment="1">
      <alignment horizontal="center" vertical="center"/>
    </xf>
    <xf numFmtId="2" fontId="0" fillId="14" borderId="5" xfId="0" applyNumberFormat="1" applyFill="1" applyBorder="1" applyAlignment="1">
      <alignment horizontal="center" vertical="center"/>
    </xf>
    <xf numFmtId="0" fontId="19" fillId="22" borderId="4" xfId="0" applyFont="1" applyFill="1" applyBorder="1" applyAlignment="1">
      <alignment horizontal="center" vertical="center"/>
    </xf>
    <xf numFmtId="0" fontId="19" fillId="22" borderId="24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top" wrapText="1"/>
    </xf>
    <xf numFmtId="0" fontId="7" fillId="20" borderId="4" xfId="0" applyFont="1" applyFill="1" applyBorder="1" applyAlignment="1">
      <alignment horizontal="center"/>
    </xf>
    <xf numFmtId="0" fontId="0" fillId="23" borderId="4" xfId="0" applyFill="1" applyBorder="1" applyAlignment="1">
      <alignment horizontal="center"/>
    </xf>
    <xf numFmtId="0" fontId="0" fillId="23" borderId="4" xfId="0" applyFill="1" applyBorder="1" applyAlignment="1">
      <alignment horizontal="left"/>
    </xf>
    <xf numFmtId="14" fontId="10" fillId="14" borderId="4" xfId="0" applyNumberFormat="1" applyFont="1" applyFill="1" applyBorder="1" applyAlignment="1">
      <alignment horizontal="center" vertical="center"/>
    </xf>
    <xf numFmtId="2" fontId="0" fillId="23" borderId="5" xfId="0" applyNumberFormat="1" applyFill="1" applyBorder="1" applyAlignment="1">
      <alignment horizontal="center"/>
    </xf>
    <xf numFmtId="14" fontId="0" fillId="23" borderId="5" xfId="0" applyNumberFormat="1" applyFill="1" applyBorder="1" applyAlignment="1">
      <alignment horizontal="center"/>
    </xf>
    <xf numFmtId="0" fontId="10" fillId="14" borderId="4" xfId="0" applyFont="1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4" xfId="0" applyFill="1" applyBorder="1" applyAlignment="1">
      <alignment horizontal="left"/>
    </xf>
    <xf numFmtId="14" fontId="0" fillId="12" borderId="5" xfId="0" applyNumberFormat="1" applyFill="1" applyBorder="1" applyAlignment="1">
      <alignment horizontal="center" vertical="center"/>
    </xf>
    <xf numFmtId="2" fontId="0" fillId="12" borderId="5" xfId="0" applyNumberFormat="1" applyFill="1" applyBorder="1" applyAlignment="1">
      <alignment horizontal="center" vertical="center"/>
    </xf>
    <xf numFmtId="0" fontId="0" fillId="12" borderId="5" xfId="0" applyFill="1" applyBorder="1" applyAlignment="1">
      <alignment horizontal="center"/>
    </xf>
    <xf numFmtId="0" fontId="0" fillId="24" borderId="4" xfId="0" applyFill="1" applyBorder="1"/>
    <xf numFmtId="0" fontId="0" fillId="24" borderId="4" xfId="0" applyFill="1" applyBorder="1" applyAlignment="1">
      <alignment horizontal="center"/>
    </xf>
    <xf numFmtId="0" fontId="0" fillId="25" borderId="4" xfId="0" applyFill="1" applyBorder="1" applyAlignment="1">
      <alignment horizontal="center"/>
    </xf>
    <xf numFmtId="14" fontId="0" fillId="24" borderId="5" xfId="0" applyNumberFormat="1" applyFill="1" applyBorder="1" applyAlignment="1">
      <alignment horizontal="center"/>
    </xf>
    <xf numFmtId="2" fontId="0" fillId="24" borderId="5" xfId="0" applyNumberFormat="1" applyFill="1" applyBorder="1" applyAlignment="1">
      <alignment horizontal="center"/>
    </xf>
    <xf numFmtId="14" fontId="0" fillId="25" borderId="5" xfId="0" applyNumberFormat="1" applyFill="1" applyBorder="1" applyAlignment="1">
      <alignment horizontal="center"/>
    </xf>
    <xf numFmtId="2" fontId="0" fillId="25" borderId="5" xfId="0" applyNumberFormat="1" applyFill="1" applyBorder="1" applyAlignment="1">
      <alignment horizontal="center"/>
    </xf>
    <xf numFmtId="0" fontId="0" fillId="25" borderId="4" xfId="0" applyFill="1" applyBorder="1"/>
    <xf numFmtId="49" fontId="0" fillId="25" borderId="4" xfId="0" applyNumberFormat="1" applyFill="1" applyBorder="1" applyAlignment="1">
      <alignment horizontal="center"/>
    </xf>
    <xf numFmtId="0" fontId="0" fillId="24" borderId="4" xfId="0" applyFill="1" applyBorder="1" applyAlignment="1">
      <alignment horizontal="left"/>
    </xf>
    <xf numFmtId="0" fontId="0" fillId="24" borderId="4" xfId="0" applyFill="1" applyBorder="1" applyAlignment="1">
      <alignment vertical="center"/>
    </xf>
    <xf numFmtId="0" fontId="0" fillId="25" borderId="4" xfId="0" applyFill="1" applyBorder="1" applyAlignment="1">
      <alignment horizontal="center" vertical="center"/>
    </xf>
    <xf numFmtId="0" fontId="3" fillId="25" borderId="4" xfId="2" applyFill="1" applyBorder="1" applyAlignment="1">
      <alignment horizontal="center" vertical="center"/>
    </xf>
    <xf numFmtId="1" fontId="0" fillId="25" borderId="4" xfId="0" applyNumberFormat="1" applyFill="1" applyBorder="1" applyAlignment="1">
      <alignment horizontal="center"/>
    </xf>
    <xf numFmtId="0" fontId="0" fillId="25" borderId="4" xfId="0" applyFill="1" applyBorder="1" applyAlignment="1">
      <alignment horizontal="left"/>
    </xf>
    <xf numFmtId="0" fontId="0" fillId="14" borderId="4" xfId="0" applyFill="1" applyBorder="1" applyAlignment="1">
      <alignment horizontal="left"/>
    </xf>
    <xf numFmtId="0" fontId="7" fillId="25" borderId="4" xfId="0" applyFont="1" applyFill="1" applyBorder="1" applyAlignment="1">
      <alignment horizontal="center"/>
    </xf>
    <xf numFmtId="0" fontId="3" fillId="25" borderId="4" xfId="2" applyFill="1" applyBorder="1" applyAlignment="1">
      <alignment horizontal="center"/>
    </xf>
    <xf numFmtId="1" fontId="10" fillId="14" borderId="4" xfId="0" applyNumberFormat="1" applyFont="1" applyFill="1" applyBorder="1" applyAlignment="1">
      <alignment horizontal="center" vertical="center"/>
    </xf>
    <xf numFmtId="14" fontId="10" fillId="12" borderId="4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14" fontId="10" fillId="0" borderId="4" xfId="0" applyNumberFormat="1" applyFont="1" applyBorder="1" applyAlignment="1">
      <alignment horizontal="center"/>
    </xf>
    <xf numFmtId="0" fontId="0" fillId="23" borderId="4" xfId="0" applyFill="1" applyBorder="1"/>
    <xf numFmtId="0" fontId="7" fillId="14" borderId="4" xfId="0" applyFont="1" applyFill="1" applyBorder="1" applyAlignment="1">
      <alignment vertical="top" wrapText="1"/>
    </xf>
    <xf numFmtId="0" fontId="7" fillId="14" borderId="4" xfId="0" applyFont="1" applyFill="1" applyBorder="1" applyAlignment="1">
      <alignment horizontal="center" vertical="top" wrapText="1"/>
    </xf>
    <xf numFmtId="2" fontId="0" fillId="0" borderId="5" xfId="0" applyNumberFormat="1" applyBorder="1" applyAlignment="1">
      <alignment horizontal="center" vertical="center"/>
    </xf>
    <xf numFmtId="1" fontId="0" fillId="14" borderId="4" xfId="0" applyNumberFormat="1" applyFill="1" applyBorder="1" applyAlignment="1">
      <alignment horizontal="center"/>
    </xf>
    <xf numFmtId="2" fontId="0" fillId="20" borderId="4" xfId="0" applyNumberFormat="1" applyFill="1" applyBorder="1" applyAlignment="1">
      <alignment horizontal="center"/>
    </xf>
    <xf numFmtId="0" fontId="7" fillId="22" borderId="4" xfId="0" applyFont="1" applyFill="1" applyBorder="1" applyAlignment="1">
      <alignment horizontal="center"/>
    </xf>
  </cellXfs>
  <cellStyles count="14">
    <cellStyle name="%" xfId="9" xr:uid="{96903911-C104-4F8B-ABE6-C59856919298}"/>
    <cellStyle name="Excel Built-in Normal" xfId="5" xr:uid="{00000000-0005-0000-0000-000009000000}"/>
    <cellStyle name="Normal" xfId="0" builtinId="0"/>
    <cellStyle name="Normal 2" xfId="2" xr:uid="{00000000-0005-0000-0000-000006000000}"/>
    <cellStyle name="Normal 3" xfId="6" xr:uid="{AEC1B9D7-C5CB-4B3A-BA17-BCCF3E3E010E}"/>
    <cellStyle name="Normal 3 2" xfId="10" xr:uid="{92481B9B-3401-45EB-B431-9E37578B2684}"/>
    <cellStyle name="Normal 5" xfId="13" xr:uid="{DA6D47E1-BE31-4BD0-A3B6-AD63287C67BE}"/>
    <cellStyle name="Percent" xfId="1" builtinId="5"/>
    <cellStyle name="Percent 2" xfId="8" xr:uid="{40F9659A-0CDB-48B5-94EA-4DA61082B2CB}"/>
    <cellStyle name="Percent 2 2" xfId="12" xr:uid="{97B61D95-1A5F-4F77-A800-1A0AE89B1906}"/>
    <cellStyle name="常规 2" xfId="3" xr:uid="{00000000-0005-0000-0000-000007000000}"/>
    <cellStyle name="常规 2 2" xfId="4" xr:uid="{00000000-0005-0000-0000-000008000000}"/>
    <cellStyle name="常规 2 3" xfId="7" xr:uid="{FEB68E0C-D242-48B1-8FFA-186FAE6DF495}"/>
    <cellStyle name="常规 2 3 2" xfId="11" xr:uid="{D9AAA1D7-2EB0-43BB-A7B3-D6F98BC340A5}"/>
  </cellStyles>
  <dxfs count="4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6700;&#38754;\1%20temp\&#23457;&#35745;\10-NRE&#35780;&#23457;&#28165;&#21333;-&#24052;&#25343;&#395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"/>
      <sheetName val="Sheet3"/>
      <sheetName val="NRE Master List"/>
      <sheetName val="NRE Scrap 2016-2019"/>
      <sheetName val="NRE Scrap Jun 2022"/>
      <sheetName val="Summary"/>
      <sheetName val="NRE A Brand List Scrap Feb-2023"/>
      <sheetName val="Sheet1"/>
      <sheetName val="NRE Master ListOutdated"/>
      <sheetName val="Reemplazo de Zebras"/>
      <sheetName val="No Aparecen en el 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01-Equipment</v>
          </cell>
        </row>
        <row r="2">
          <cell r="B2" t="str">
            <v>02-Tooling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D9D9"/>
  </sheetPr>
  <dimension ref="A1:T342"/>
  <sheetViews>
    <sheetView topLeftCell="B1" zoomScaleNormal="100" workbookViewId="0">
      <pane xSplit="1" ySplit="1" topLeftCell="C308" activePane="bottomRight" state="frozen"/>
      <selection activeCell="B1" sqref="B1"/>
      <selection pane="topRight" activeCell="C1" sqref="C1"/>
      <selection pane="bottomLeft" activeCell="B319" sqref="B319"/>
      <selection pane="bottomRight" activeCell="E322" sqref="E322"/>
    </sheetView>
  </sheetViews>
  <sheetFormatPr defaultColWidth="9.140625" defaultRowHeight="15" outlineLevelRow="1"/>
  <cols>
    <col min="1" max="1" width="4.140625" style="1" customWidth="1"/>
    <col min="2" max="2" width="30.85546875" style="2" customWidth="1"/>
    <col min="3" max="3" width="7.42578125" style="1" customWidth="1"/>
    <col min="4" max="4" width="23" style="1" customWidth="1"/>
    <col min="5" max="5" width="29.42578125" style="1" customWidth="1"/>
    <col min="6" max="6" width="26" style="3" customWidth="1"/>
    <col min="7" max="8" width="24.42578125" style="3" customWidth="1"/>
    <col min="9" max="9" width="14.140625" style="3" hidden="1" customWidth="1"/>
    <col min="10" max="10" width="14" style="3" hidden="1" customWidth="1"/>
    <col min="11" max="11" width="18" style="3" customWidth="1"/>
    <col min="12" max="12" width="20.5703125" style="4" hidden="1" customWidth="1"/>
    <col min="13" max="14" width="16" style="5" customWidth="1"/>
    <col min="15" max="15" width="15.42578125" style="5" hidden="1" customWidth="1"/>
    <col min="16" max="16" width="18.42578125" customWidth="1"/>
    <col min="17" max="17" width="9.140625" style="1"/>
    <col min="18" max="18" width="9.140625" style="6"/>
    <col min="19" max="16384" width="9.140625" style="1"/>
  </cols>
  <sheetData>
    <row r="1" spans="1:19" customFormat="1" ht="18.75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1" t="s">
        <v>11</v>
      </c>
      <c r="M1" s="12" t="s">
        <v>12</v>
      </c>
      <c r="N1" s="13">
        <v>45475</v>
      </c>
      <c r="O1" s="13">
        <v>45293</v>
      </c>
      <c r="Q1" s="1"/>
      <c r="R1" s="6"/>
      <c r="S1" s="1"/>
    </row>
    <row r="2" spans="1:19" customFormat="1">
      <c r="A2" s="14"/>
      <c r="B2" s="15" t="s">
        <v>13</v>
      </c>
      <c r="C2" s="16">
        <v>11</v>
      </c>
      <c r="D2" s="17" t="s">
        <v>14</v>
      </c>
      <c r="E2" s="16" t="s">
        <v>15</v>
      </c>
      <c r="F2" s="16" t="s">
        <v>15</v>
      </c>
      <c r="G2" s="18" t="s">
        <v>15</v>
      </c>
      <c r="H2" s="18" t="s">
        <v>14</v>
      </c>
      <c r="I2" s="18" t="s">
        <v>15</v>
      </c>
      <c r="J2" s="16" t="s">
        <v>15</v>
      </c>
      <c r="K2" s="16"/>
      <c r="L2" s="19" t="s">
        <v>16</v>
      </c>
      <c r="M2" s="20" t="s">
        <v>15</v>
      </c>
      <c r="N2" s="20"/>
      <c r="O2" s="16" t="s">
        <v>17</v>
      </c>
      <c r="P2" s="21"/>
    </row>
    <row r="3" spans="1:19" outlineLevel="1"/>
    <row r="4" spans="1:19" customFormat="1" outlineLevel="1">
      <c r="A4" s="21"/>
      <c r="B4" s="22" t="s">
        <v>18</v>
      </c>
      <c r="C4" s="22">
        <v>1</v>
      </c>
      <c r="D4" s="22" t="s">
        <v>19</v>
      </c>
      <c r="E4" s="22" t="s">
        <v>20</v>
      </c>
      <c r="F4" s="23" t="s">
        <v>21</v>
      </c>
      <c r="G4" s="24" t="s">
        <v>22</v>
      </c>
      <c r="H4" s="25" t="s">
        <v>23</v>
      </c>
      <c r="I4" s="26" t="s">
        <v>24</v>
      </c>
      <c r="J4" s="24">
        <v>3601259</v>
      </c>
      <c r="K4" s="27" t="s">
        <v>25</v>
      </c>
      <c r="L4" s="28">
        <v>44932</v>
      </c>
      <c r="M4" s="29" t="s">
        <v>26</v>
      </c>
      <c r="N4" s="29"/>
      <c r="O4" s="30" t="s">
        <v>27</v>
      </c>
      <c r="P4" s="21"/>
    </row>
    <row r="5" spans="1:19" customFormat="1" outlineLevel="1">
      <c r="A5" s="27"/>
      <c r="B5" s="27" t="s">
        <v>18</v>
      </c>
      <c r="C5" s="27">
        <v>1</v>
      </c>
      <c r="D5" s="27" t="s">
        <v>19</v>
      </c>
      <c r="E5" s="27" t="s">
        <v>20</v>
      </c>
      <c r="F5" s="31" t="s">
        <v>28</v>
      </c>
      <c r="G5" s="26" t="s">
        <v>22</v>
      </c>
      <c r="H5" s="32" t="s">
        <v>29</v>
      </c>
      <c r="I5" s="26" t="s">
        <v>30</v>
      </c>
      <c r="J5" s="24">
        <v>3595652</v>
      </c>
      <c r="K5" s="27" t="s">
        <v>25</v>
      </c>
      <c r="L5" s="33">
        <v>44914</v>
      </c>
      <c r="M5" s="34" t="s">
        <v>26</v>
      </c>
      <c r="N5" s="34"/>
      <c r="O5" s="30" t="s">
        <v>27</v>
      </c>
      <c r="P5" s="21"/>
    </row>
    <row r="6" spans="1:19" customFormat="1" outlineLevel="1">
      <c r="A6" s="21"/>
      <c r="B6" s="22" t="s">
        <v>31</v>
      </c>
      <c r="C6" s="27">
        <v>1</v>
      </c>
      <c r="D6" s="27" t="s">
        <v>32</v>
      </c>
      <c r="E6" s="22" t="s">
        <v>33</v>
      </c>
      <c r="F6" s="24" t="s">
        <v>34</v>
      </c>
      <c r="G6" s="24" t="s">
        <v>35</v>
      </c>
      <c r="H6" s="26" t="s">
        <v>36</v>
      </c>
      <c r="I6" s="26" t="s">
        <v>37</v>
      </c>
      <c r="J6" s="24">
        <v>3476786</v>
      </c>
      <c r="K6" s="26" t="s">
        <v>38</v>
      </c>
      <c r="L6" s="28">
        <v>43475</v>
      </c>
      <c r="M6" s="35" t="s">
        <v>39</v>
      </c>
      <c r="N6" s="35"/>
      <c r="O6" s="30" t="s">
        <v>27</v>
      </c>
      <c r="P6" s="21"/>
    </row>
    <row r="7" spans="1:19" customFormat="1" outlineLevel="1">
      <c r="A7" s="21"/>
      <c r="B7" s="22" t="s">
        <v>18</v>
      </c>
      <c r="C7" s="27">
        <v>1</v>
      </c>
      <c r="D7" s="27" t="s">
        <v>19</v>
      </c>
      <c r="E7" s="22" t="s">
        <v>20</v>
      </c>
      <c r="F7" s="23" t="s">
        <v>40</v>
      </c>
      <c r="G7" s="24" t="s">
        <v>22</v>
      </c>
      <c r="H7" s="36" t="s">
        <v>41</v>
      </c>
      <c r="I7" s="26" t="s">
        <v>42</v>
      </c>
      <c r="J7" s="24">
        <v>3601260</v>
      </c>
      <c r="K7" s="27" t="s">
        <v>25</v>
      </c>
      <c r="L7" s="28">
        <v>44932</v>
      </c>
      <c r="M7" s="34" t="s">
        <v>26</v>
      </c>
      <c r="N7" s="34"/>
      <c r="O7" s="30" t="s">
        <v>27</v>
      </c>
      <c r="P7" s="21"/>
    </row>
    <row r="8" spans="1:19" customFormat="1" outlineLevel="1">
      <c r="A8" s="21"/>
      <c r="B8" s="22" t="s">
        <v>43</v>
      </c>
      <c r="C8" s="27">
        <v>1</v>
      </c>
      <c r="D8" s="27" t="s">
        <v>19</v>
      </c>
      <c r="E8" s="22" t="s">
        <v>44</v>
      </c>
      <c r="F8" s="23" t="s">
        <v>45</v>
      </c>
      <c r="G8" s="24" t="s">
        <v>46</v>
      </c>
      <c r="H8" s="37" t="s">
        <v>47</v>
      </c>
      <c r="I8" s="18" t="s">
        <v>48</v>
      </c>
      <c r="J8" s="24">
        <v>3638502</v>
      </c>
      <c r="K8" s="27" t="s">
        <v>25</v>
      </c>
      <c r="L8" s="28">
        <v>45213</v>
      </c>
      <c r="M8" s="34" t="s">
        <v>26</v>
      </c>
      <c r="N8" s="34"/>
      <c r="O8" s="30" t="s">
        <v>27</v>
      </c>
      <c r="P8" s="21"/>
    </row>
    <row r="9" spans="1:19" customFormat="1" outlineLevel="1">
      <c r="A9" s="21"/>
      <c r="B9" s="22" t="s">
        <v>43</v>
      </c>
      <c r="C9" s="27">
        <v>1</v>
      </c>
      <c r="D9" s="27" t="s">
        <v>19</v>
      </c>
      <c r="E9" s="22" t="s">
        <v>44</v>
      </c>
      <c r="F9" s="23" t="s">
        <v>49</v>
      </c>
      <c r="G9" s="24" t="s">
        <v>46</v>
      </c>
      <c r="H9" s="37" t="s">
        <v>50</v>
      </c>
      <c r="I9" s="18" t="s">
        <v>51</v>
      </c>
      <c r="J9" s="24">
        <v>3638503</v>
      </c>
      <c r="K9" s="27" t="s">
        <v>25</v>
      </c>
      <c r="L9" s="28">
        <v>45213</v>
      </c>
      <c r="M9" s="34" t="s">
        <v>26</v>
      </c>
      <c r="N9" s="34"/>
      <c r="O9" s="30" t="s">
        <v>27</v>
      </c>
      <c r="P9" s="21"/>
    </row>
    <row r="10" spans="1:19" customFormat="1" outlineLevel="1">
      <c r="A10" s="21"/>
      <c r="B10" s="22" t="s">
        <v>43</v>
      </c>
      <c r="C10" s="27">
        <v>1</v>
      </c>
      <c r="D10" s="27" t="s">
        <v>19</v>
      </c>
      <c r="E10" s="22" t="s">
        <v>44</v>
      </c>
      <c r="F10" s="23" t="s">
        <v>52</v>
      </c>
      <c r="G10" s="24" t="s">
        <v>46</v>
      </c>
      <c r="H10" s="37" t="s">
        <v>53</v>
      </c>
      <c r="I10" s="18" t="s">
        <v>54</v>
      </c>
      <c r="J10" s="24">
        <v>3638504</v>
      </c>
      <c r="K10" s="27" t="s">
        <v>25</v>
      </c>
      <c r="L10" s="28">
        <v>45213</v>
      </c>
      <c r="M10" s="34" t="s">
        <v>26</v>
      </c>
      <c r="N10" s="34"/>
      <c r="O10" s="30" t="s">
        <v>27</v>
      </c>
      <c r="P10" s="21"/>
    </row>
    <row r="11" spans="1:19" customFormat="1" outlineLevel="1">
      <c r="A11" s="27"/>
      <c r="B11" s="22" t="s">
        <v>43</v>
      </c>
      <c r="C11" s="27">
        <v>1</v>
      </c>
      <c r="D11" s="27" t="s">
        <v>19</v>
      </c>
      <c r="E11" s="22" t="s">
        <v>44</v>
      </c>
      <c r="F11" s="23" t="s">
        <v>55</v>
      </c>
      <c r="G11" s="24" t="s">
        <v>46</v>
      </c>
      <c r="H11" s="37" t="s">
        <v>56</v>
      </c>
      <c r="I11" s="18" t="s">
        <v>57</v>
      </c>
      <c r="J11" s="24">
        <v>3638505</v>
      </c>
      <c r="K11" s="27" t="s">
        <v>25</v>
      </c>
      <c r="L11" s="28">
        <v>45213</v>
      </c>
      <c r="M11" s="34" t="s">
        <v>26</v>
      </c>
      <c r="N11" s="34"/>
      <c r="O11" s="30" t="s">
        <v>27</v>
      </c>
      <c r="P11" s="21"/>
    </row>
    <row r="12" spans="1:19" customFormat="1" outlineLevel="1">
      <c r="A12" s="22"/>
      <c r="B12" s="27" t="s">
        <v>43</v>
      </c>
      <c r="C12" s="27">
        <v>1</v>
      </c>
      <c r="D12" s="27" t="s">
        <v>19</v>
      </c>
      <c r="E12" s="27" t="s">
        <v>44</v>
      </c>
      <c r="F12" s="31" t="s">
        <v>58</v>
      </c>
      <c r="G12" s="26" t="s">
        <v>46</v>
      </c>
      <c r="H12" s="37" t="s">
        <v>59</v>
      </c>
      <c r="I12" s="18" t="s">
        <v>60</v>
      </c>
      <c r="J12" s="26">
        <v>3638506</v>
      </c>
      <c r="K12" s="27" t="s">
        <v>25</v>
      </c>
      <c r="L12" s="33">
        <v>45213</v>
      </c>
      <c r="M12" s="33" t="s">
        <v>26</v>
      </c>
      <c r="N12" s="33"/>
      <c r="O12" s="30" t="s">
        <v>27</v>
      </c>
      <c r="P12" s="21"/>
    </row>
    <row r="13" spans="1:19" customFormat="1" outlineLevel="1">
      <c r="A13" s="27"/>
      <c r="B13" s="27" t="s">
        <v>43</v>
      </c>
      <c r="C13" s="27">
        <v>1</v>
      </c>
      <c r="D13" s="27" t="s">
        <v>19</v>
      </c>
      <c r="E13" s="27" t="s">
        <v>44</v>
      </c>
      <c r="F13" s="31" t="s">
        <v>61</v>
      </c>
      <c r="G13" s="26" t="s">
        <v>46</v>
      </c>
      <c r="H13" s="37" t="s">
        <v>62</v>
      </c>
      <c r="I13" s="18" t="s">
        <v>63</v>
      </c>
      <c r="J13" s="26">
        <v>3638507</v>
      </c>
      <c r="K13" s="27" t="s">
        <v>25</v>
      </c>
      <c r="L13" s="33">
        <v>45213</v>
      </c>
      <c r="M13" s="34" t="s">
        <v>26</v>
      </c>
      <c r="N13" s="34"/>
      <c r="O13" s="30" t="s">
        <v>27</v>
      </c>
    </row>
    <row r="14" spans="1:19" customFormat="1" outlineLevel="1">
      <c r="A14" s="38"/>
      <c r="B14" s="22" t="s">
        <v>64</v>
      </c>
      <c r="C14" s="22">
        <v>1</v>
      </c>
      <c r="D14" s="39" t="s">
        <v>65</v>
      </c>
      <c r="E14" s="22" t="s">
        <v>66</v>
      </c>
      <c r="F14" s="40">
        <v>190500021000139</v>
      </c>
      <c r="G14" s="26">
        <v>500207510159</v>
      </c>
      <c r="H14" s="26" t="s">
        <v>67</v>
      </c>
      <c r="I14" s="26" t="s">
        <v>68</v>
      </c>
      <c r="J14" s="22">
        <v>3476742</v>
      </c>
      <c r="K14" s="22" t="s">
        <v>25</v>
      </c>
      <c r="L14" s="30">
        <v>43475</v>
      </c>
      <c r="M14" s="41" t="s">
        <v>26</v>
      </c>
      <c r="N14" s="41"/>
      <c r="O14" s="27" t="s">
        <v>27</v>
      </c>
      <c r="Q14" s="1"/>
      <c r="R14" s="1"/>
      <c r="S14" s="1"/>
    </row>
    <row r="15" spans="1:19" customFormat="1" outlineLevel="1">
      <c r="A15" s="42"/>
      <c r="B15" s="27" t="s">
        <v>64</v>
      </c>
      <c r="C15" s="27">
        <v>1</v>
      </c>
      <c r="D15" s="43" t="s">
        <v>65</v>
      </c>
      <c r="E15" s="27" t="s">
        <v>66</v>
      </c>
      <c r="F15" s="44">
        <v>190500021000137</v>
      </c>
      <c r="G15" s="26">
        <v>500207510155</v>
      </c>
      <c r="H15" s="26" t="s">
        <v>69</v>
      </c>
      <c r="I15" s="26" t="s">
        <v>70</v>
      </c>
      <c r="J15" s="27">
        <v>3476741</v>
      </c>
      <c r="K15" s="27" t="s">
        <v>25</v>
      </c>
      <c r="L15" s="30">
        <v>43475</v>
      </c>
      <c r="M15" s="45" t="s">
        <v>26</v>
      </c>
      <c r="N15" s="45"/>
      <c r="O15" s="27" t="s">
        <v>27</v>
      </c>
      <c r="P15" s="21"/>
    </row>
    <row r="16" spans="1:19" customFormat="1">
      <c r="A16" s="16"/>
      <c r="B16" s="15" t="s">
        <v>71</v>
      </c>
      <c r="C16" s="16">
        <v>6</v>
      </c>
      <c r="D16" s="16" t="s">
        <v>19</v>
      </c>
      <c r="E16" s="16" t="s">
        <v>15</v>
      </c>
      <c r="F16" s="46" t="s">
        <v>15</v>
      </c>
      <c r="G16" s="18" t="s">
        <v>14</v>
      </c>
      <c r="H16" s="18" t="s">
        <v>14</v>
      </c>
      <c r="I16" s="18" t="s">
        <v>15</v>
      </c>
      <c r="J16" s="18" t="s">
        <v>15</v>
      </c>
      <c r="K16" s="18" t="s">
        <v>15</v>
      </c>
      <c r="L16" s="18" t="s">
        <v>15</v>
      </c>
      <c r="M16" s="47" t="s">
        <v>15</v>
      </c>
      <c r="N16" s="47"/>
      <c r="O16" s="48" t="s">
        <v>17</v>
      </c>
    </row>
    <row r="17" spans="1:15" customFormat="1">
      <c r="A17" s="27"/>
      <c r="B17" s="27" t="s">
        <v>72</v>
      </c>
      <c r="C17" s="27">
        <v>1</v>
      </c>
      <c r="D17" s="27" t="s">
        <v>73</v>
      </c>
      <c r="E17" s="27" t="s">
        <v>74</v>
      </c>
      <c r="F17" s="26" t="s">
        <v>75</v>
      </c>
      <c r="G17" s="26">
        <v>500207510469</v>
      </c>
      <c r="H17" s="26" t="s">
        <v>76</v>
      </c>
      <c r="I17" s="26" t="s">
        <v>77</v>
      </c>
      <c r="J17" s="26">
        <v>3476744</v>
      </c>
      <c r="K17" s="26" t="s">
        <v>25</v>
      </c>
      <c r="L17" s="33">
        <v>43475</v>
      </c>
      <c r="M17" s="35" t="s">
        <v>78</v>
      </c>
      <c r="N17" s="35"/>
      <c r="O17" s="30" t="s">
        <v>27</v>
      </c>
    </row>
    <row r="18" spans="1:15" customFormat="1">
      <c r="A18" s="27"/>
      <c r="B18" s="27" t="s">
        <v>72</v>
      </c>
      <c r="C18" s="27">
        <v>1</v>
      </c>
      <c r="D18" s="27" t="s">
        <v>73</v>
      </c>
      <c r="E18" s="27" t="s">
        <v>74</v>
      </c>
      <c r="F18" s="26" t="s">
        <v>79</v>
      </c>
      <c r="G18" s="26">
        <v>500207510468</v>
      </c>
      <c r="H18" s="26" t="s">
        <v>80</v>
      </c>
      <c r="I18" s="26" t="s">
        <v>81</v>
      </c>
      <c r="J18" s="26">
        <v>3476745</v>
      </c>
      <c r="K18" s="26" t="s">
        <v>25</v>
      </c>
      <c r="L18" s="33">
        <v>43475</v>
      </c>
      <c r="M18" s="35" t="s">
        <v>78</v>
      </c>
      <c r="N18" s="35"/>
      <c r="O18" s="30" t="s">
        <v>27</v>
      </c>
    </row>
    <row r="19" spans="1:15" customFormat="1" ht="15" customHeight="1">
      <c r="A19" s="16">
        <v>8</v>
      </c>
      <c r="B19" s="15" t="s">
        <v>82</v>
      </c>
      <c r="C19" s="16">
        <v>5</v>
      </c>
      <c r="D19" s="16" t="s">
        <v>83</v>
      </c>
      <c r="E19" s="16" t="s">
        <v>84</v>
      </c>
      <c r="F19" s="18" t="s">
        <v>15</v>
      </c>
      <c r="G19" s="49" t="s">
        <v>15</v>
      </c>
      <c r="H19" s="49"/>
      <c r="I19" s="18" t="s">
        <v>15</v>
      </c>
      <c r="J19" s="18" t="s">
        <v>15</v>
      </c>
      <c r="K19" s="18"/>
      <c r="L19" s="50">
        <v>43475</v>
      </c>
      <c r="M19" s="51" t="s">
        <v>15</v>
      </c>
      <c r="N19" s="51"/>
      <c r="O19" s="48" t="s">
        <v>17</v>
      </c>
    </row>
    <row r="20" spans="1:15" customFormat="1" ht="18.75" customHeight="1">
      <c r="A20" s="27"/>
      <c r="B20" s="27" t="s">
        <v>82</v>
      </c>
      <c r="C20" s="27">
        <v>1</v>
      </c>
      <c r="D20" s="27" t="s">
        <v>83</v>
      </c>
      <c r="E20" s="27" t="s">
        <v>84</v>
      </c>
      <c r="F20" s="26">
        <v>114977</v>
      </c>
      <c r="G20" s="24" t="s">
        <v>15</v>
      </c>
      <c r="H20" s="24" t="s">
        <v>85</v>
      </c>
      <c r="I20" s="26" t="s">
        <v>86</v>
      </c>
      <c r="J20" s="26">
        <v>3476753</v>
      </c>
      <c r="K20" s="26" t="s">
        <v>25</v>
      </c>
      <c r="L20" s="28">
        <v>43475</v>
      </c>
      <c r="M20" s="35" t="s">
        <v>87</v>
      </c>
      <c r="N20" s="35"/>
      <c r="O20" s="30" t="s">
        <v>27</v>
      </c>
    </row>
    <row r="21" spans="1:15" customFormat="1">
      <c r="A21" s="27"/>
      <c r="B21" s="27" t="s">
        <v>82</v>
      </c>
      <c r="C21" s="27">
        <v>1</v>
      </c>
      <c r="D21" s="27" t="s">
        <v>83</v>
      </c>
      <c r="E21" s="27" t="s">
        <v>84</v>
      </c>
      <c r="F21" s="26">
        <v>114968</v>
      </c>
      <c r="G21" s="26" t="s">
        <v>15</v>
      </c>
      <c r="H21" s="26" t="s">
        <v>88</v>
      </c>
      <c r="I21" s="26" t="s">
        <v>89</v>
      </c>
      <c r="J21" s="26">
        <v>3476751</v>
      </c>
      <c r="K21" s="26" t="s">
        <v>25</v>
      </c>
      <c r="L21" s="33">
        <v>43475</v>
      </c>
      <c r="M21" s="35" t="s">
        <v>90</v>
      </c>
      <c r="N21" s="35"/>
      <c r="O21" s="30" t="s">
        <v>27</v>
      </c>
    </row>
    <row r="22" spans="1:15" customFormat="1">
      <c r="A22" s="27"/>
      <c r="B22" s="27" t="s">
        <v>82</v>
      </c>
      <c r="C22" s="27">
        <v>1</v>
      </c>
      <c r="D22" s="27" t="s">
        <v>83</v>
      </c>
      <c r="E22" s="27" t="s">
        <v>84</v>
      </c>
      <c r="F22" s="26">
        <v>115948</v>
      </c>
      <c r="G22" s="26" t="s">
        <v>15</v>
      </c>
      <c r="H22" s="26" t="s">
        <v>91</v>
      </c>
      <c r="I22" s="26" t="s">
        <v>92</v>
      </c>
      <c r="J22" s="26">
        <v>3476754</v>
      </c>
      <c r="K22" s="26" t="s">
        <v>25</v>
      </c>
      <c r="L22" s="33">
        <v>43475</v>
      </c>
      <c r="M22" s="35" t="s">
        <v>93</v>
      </c>
      <c r="N22" s="35"/>
      <c r="O22" s="30" t="s">
        <v>94</v>
      </c>
    </row>
    <row r="23" spans="1:15" customFormat="1">
      <c r="A23" s="27"/>
      <c r="B23" s="27" t="s">
        <v>82</v>
      </c>
      <c r="C23" s="27">
        <v>1</v>
      </c>
      <c r="D23" s="27" t="s">
        <v>83</v>
      </c>
      <c r="E23" s="27" t="s">
        <v>84</v>
      </c>
      <c r="F23" s="26">
        <v>115956</v>
      </c>
      <c r="G23" s="26" t="s">
        <v>15</v>
      </c>
      <c r="H23" s="26" t="s">
        <v>95</v>
      </c>
      <c r="I23" s="52" t="s">
        <v>96</v>
      </c>
      <c r="J23" s="26">
        <v>3476752</v>
      </c>
      <c r="K23" s="26" t="s">
        <v>25</v>
      </c>
      <c r="L23" s="33">
        <v>43475</v>
      </c>
      <c r="M23" s="35" t="s">
        <v>90</v>
      </c>
      <c r="N23" s="35"/>
      <c r="O23" s="30" t="s">
        <v>27</v>
      </c>
    </row>
    <row r="24" spans="1:15" customFormat="1">
      <c r="A24" s="27"/>
      <c r="B24" s="27" t="s">
        <v>82</v>
      </c>
      <c r="C24" s="27">
        <v>1</v>
      </c>
      <c r="D24" s="27" t="s">
        <v>83</v>
      </c>
      <c r="E24" s="27" t="s">
        <v>84</v>
      </c>
      <c r="F24" s="26">
        <v>115949</v>
      </c>
      <c r="G24" s="24" t="s">
        <v>15</v>
      </c>
      <c r="H24" s="24" t="s">
        <v>97</v>
      </c>
      <c r="I24" s="26" t="s">
        <v>98</v>
      </c>
      <c r="J24" s="26">
        <v>3476755</v>
      </c>
      <c r="K24" s="26" t="s">
        <v>25</v>
      </c>
      <c r="L24" s="28">
        <v>43475</v>
      </c>
      <c r="M24" s="35" t="s">
        <v>78</v>
      </c>
      <c r="N24" s="35"/>
      <c r="O24" s="30" t="s">
        <v>27</v>
      </c>
    </row>
    <row r="25" spans="1:15" customFormat="1">
      <c r="A25" s="16">
        <v>45</v>
      </c>
      <c r="B25" s="15" t="s">
        <v>99</v>
      </c>
      <c r="C25" s="16">
        <v>12</v>
      </c>
      <c r="D25" s="16" t="s">
        <v>35</v>
      </c>
      <c r="E25" s="16" t="s">
        <v>35</v>
      </c>
      <c r="F25" s="17" t="s">
        <v>15</v>
      </c>
      <c r="G25" s="18" t="s">
        <v>35</v>
      </c>
      <c r="H25" s="18"/>
      <c r="I25" s="18" t="s">
        <v>15</v>
      </c>
      <c r="J25" s="18" t="s">
        <v>35</v>
      </c>
      <c r="K25" s="18"/>
      <c r="L25" s="19">
        <v>43475</v>
      </c>
      <c r="M25" s="51" t="s">
        <v>15</v>
      </c>
      <c r="N25" s="51"/>
      <c r="O25" s="48" t="s">
        <v>17</v>
      </c>
    </row>
    <row r="26" spans="1:15" customFormat="1">
      <c r="A26" s="27"/>
      <c r="B26" s="27" t="s">
        <v>100</v>
      </c>
      <c r="C26" s="27">
        <v>1</v>
      </c>
      <c r="D26" s="27" t="s">
        <v>35</v>
      </c>
      <c r="E26" s="27" t="s">
        <v>35</v>
      </c>
      <c r="F26" s="26" t="s">
        <v>35</v>
      </c>
      <c r="G26" s="26" t="s">
        <v>35</v>
      </c>
      <c r="H26" s="26" t="s">
        <v>101</v>
      </c>
      <c r="I26" s="26"/>
      <c r="J26" s="26" t="s">
        <v>35</v>
      </c>
      <c r="K26" s="26" t="s">
        <v>25</v>
      </c>
      <c r="L26" s="33">
        <v>43475</v>
      </c>
      <c r="M26" s="35" t="s">
        <v>102</v>
      </c>
      <c r="N26" s="35"/>
      <c r="O26" s="30" t="s">
        <v>27</v>
      </c>
    </row>
    <row r="27" spans="1:15" customFormat="1">
      <c r="A27" s="27"/>
      <c r="B27" s="27" t="s">
        <v>100</v>
      </c>
      <c r="C27" s="27">
        <v>1</v>
      </c>
      <c r="D27" s="27" t="s">
        <v>35</v>
      </c>
      <c r="E27" s="27" t="s">
        <v>35</v>
      </c>
      <c r="F27" s="26" t="s">
        <v>35</v>
      </c>
      <c r="G27" s="26" t="s">
        <v>35</v>
      </c>
      <c r="H27" s="26" t="s">
        <v>103</v>
      </c>
      <c r="I27" s="26"/>
      <c r="J27" s="26" t="s">
        <v>35</v>
      </c>
      <c r="K27" s="26" t="s">
        <v>25</v>
      </c>
      <c r="L27" s="33">
        <v>43475</v>
      </c>
      <c r="M27" s="35" t="s">
        <v>102</v>
      </c>
      <c r="N27" s="35"/>
      <c r="O27" s="30" t="s">
        <v>27</v>
      </c>
    </row>
    <row r="29" spans="1:15" customFormat="1">
      <c r="A29" s="27"/>
      <c r="B29" s="27" t="s">
        <v>104</v>
      </c>
      <c r="C29" s="27">
        <v>1</v>
      </c>
      <c r="D29" s="27" t="s">
        <v>35</v>
      </c>
      <c r="E29" s="27">
        <v>1</v>
      </c>
      <c r="F29" s="26"/>
      <c r="G29" s="26">
        <v>500204400650</v>
      </c>
      <c r="H29" s="26" t="s">
        <v>105</v>
      </c>
      <c r="I29" s="26" t="s">
        <v>106</v>
      </c>
      <c r="J29" s="26">
        <v>3476757</v>
      </c>
      <c r="K29" s="26" t="s">
        <v>25</v>
      </c>
      <c r="L29" s="33">
        <v>43475</v>
      </c>
      <c r="M29" s="35" t="s">
        <v>78</v>
      </c>
      <c r="N29" s="35"/>
      <c r="O29" s="30" t="s">
        <v>107</v>
      </c>
    </row>
    <row r="30" spans="1:15" customFormat="1">
      <c r="A30" s="27"/>
      <c r="B30" s="27" t="s">
        <v>104</v>
      </c>
      <c r="C30" s="27">
        <v>1</v>
      </c>
      <c r="D30" s="27" t="s">
        <v>35</v>
      </c>
      <c r="E30" s="27">
        <v>2</v>
      </c>
      <c r="F30" s="26"/>
      <c r="G30" s="26">
        <v>500207510410</v>
      </c>
      <c r="H30" s="26" t="s">
        <v>108</v>
      </c>
      <c r="I30" s="52" t="s">
        <v>109</v>
      </c>
      <c r="J30" s="26">
        <v>3476758</v>
      </c>
      <c r="K30" s="26" t="s">
        <v>25</v>
      </c>
      <c r="L30" s="33">
        <v>43475</v>
      </c>
      <c r="M30" s="35" t="s">
        <v>78</v>
      </c>
      <c r="N30" s="35"/>
      <c r="O30" s="30" t="s">
        <v>27</v>
      </c>
    </row>
    <row r="31" spans="1:15" customFormat="1" ht="18.75" customHeight="1">
      <c r="A31" s="16"/>
      <c r="B31" s="15" t="s">
        <v>110</v>
      </c>
      <c r="C31" s="16">
        <v>5</v>
      </c>
      <c r="D31" s="16" t="s">
        <v>15</v>
      </c>
      <c r="E31" s="16" t="s">
        <v>15</v>
      </c>
      <c r="F31" s="18" t="s">
        <v>15</v>
      </c>
      <c r="G31" s="18" t="s">
        <v>15</v>
      </c>
      <c r="H31" s="18" t="s">
        <v>14</v>
      </c>
      <c r="I31" s="18" t="s">
        <v>15</v>
      </c>
      <c r="J31" s="18"/>
      <c r="K31" s="18"/>
      <c r="L31" s="19" t="s">
        <v>15</v>
      </c>
      <c r="M31" s="51" t="s">
        <v>15</v>
      </c>
      <c r="N31" s="51"/>
      <c r="O31" s="48" t="s">
        <v>17</v>
      </c>
    </row>
    <row r="32" spans="1:15" customFormat="1" ht="18.75" customHeight="1">
      <c r="A32" s="16">
        <v>76</v>
      </c>
      <c r="B32" s="15" t="s">
        <v>111</v>
      </c>
      <c r="C32" s="16">
        <v>4</v>
      </c>
      <c r="D32" s="16" t="s">
        <v>112</v>
      </c>
      <c r="E32" s="16" t="s">
        <v>113</v>
      </c>
      <c r="F32" s="18" t="s">
        <v>15</v>
      </c>
      <c r="G32" s="18" t="s">
        <v>35</v>
      </c>
      <c r="H32" s="18"/>
      <c r="I32" s="18" t="s">
        <v>15</v>
      </c>
      <c r="J32" s="18" t="s">
        <v>15</v>
      </c>
      <c r="K32" s="18"/>
      <c r="L32" s="19">
        <v>43475</v>
      </c>
      <c r="M32" s="51" t="s">
        <v>15</v>
      </c>
      <c r="N32" s="51"/>
      <c r="O32" s="48" t="s">
        <v>17</v>
      </c>
    </row>
    <row r="33" spans="1:20" customFormat="1">
      <c r="A33" s="27"/>
      <c r="B33" s="27" t="s">
        <v>111</v>
      </c>
      <c r="C33" s="27">
        <v>1</v>
      </c>
      <c r="D33" s="27" t="s">
        <v>112</v>
      </c>
      <c r="E33" s="27" t="s">
        <v>113</v>
      </c>
      <c r="F33" s="26" t="s">
        <v>114</v>
      </c>
      <c r="G33" s="26" t="s">
        <v>35</v>
      </c>
      <c r="H33" s="26" t="s">
        <v>115</v>
      </c>
      <c r="I33" s="26" t="s">
        <v>116</v>
      </c>
      <c r="J33" s="26" t="s">
        <v>35</v>
      </c>
      <c r="K33" s="26" t="s">
        <v>38</v>
      </c>
      <c r="L33" s="33">
        <v>43475</v>
      </c>
      <c r="M33" s="35" t="s">
        <v>117</v>
      </c>
      <c r="N33" s="35"/>
      <c r="O33" s="30" t="s">
        <v>27</v>
      </c>
    </row>
    <row r="34" spans="1:20" customFormat="1">
      <c r="A34" s="27"/>
      <c r="B34" s="27" t="s">
        <v>111</v>
      </c>
      <c r="C34" s="27">
        <v>1</v>
      </c>
      <c r="D34" s="27" t="s">
        <v>112</v>
      </c>
      <c r="E34" s="27" t="s">
        <v>113</v>
      </c>
      <c r="F34" s="26" t="s">
        <v>118</v>
      </c>
      <c r="G34" s="26" t="s">
        <v>35</v>
      </c>
      <c r="H34" s="26" t="s">
        <v>119</v>
      </c>
      <c r="I34" s="26" t="s">
        <v>120</v>
      </c>
      <c r="J34" s="26" t="s">
        <v>35</v>
      </c>
      <c r="K34" s="26" t="s">
        <v>38</v>
      </c>
      <c r="L34" s="33">
        <v>43475</v>
      </c>
      <c r="M34" s="35" t="s">
        <v>117</v>
      </c>
      <c r="N34" s="35"/>
      <c r="O34" s="30" t="s">
        <v>27</v>
      </c>
    </row>
    <row r="35" spans="1:20" customFormat="1">
      <c r="A35" s="1"/>
      <c r="B35" s="27" t="s">
        <v>111</v>
      </c>
      <c r="C35" s="27">
        <v>1</v>
      </c>
      <c r="D35" s="27" t="s">
        <v>112</v>
      </c>
      <c r="E35" s="27" t="s">
        <v>113</v>
      </c>
      <c r="F35" s="26" t="s">
        <v>121</v>
      </c>
      <c r="G35" s="26" t="s">
        <v>35</v>
      </c>
      <c r="H35" s="26" t="s">
        <v>122</v>
      </c>
      <c r="I35" s="26" t="s">
        <v>123</v>
      </c>
      <c r="J35" s="26" t="s">
        <v>35</v>
      </c>
      <c r="K35" s="26" t="s">
        <v>38</v>
      </c>
      <c r="L35" s="33">
        <v>43475</v>
      </c>
      <c r="M35" s="35" t="s">
        <v>117</v>
      </c>
      <c r="N35" s="35"/>
      <c r="O35" s="30" t="s">
        <v>27</v>
      </c>
    </row>
    <row r="36" spans="1:20" customFormat="1">
      <c r="A36" s="1"/>
      <c r="B36" s="27" t="s">
        <v>111</v>
      </c>
      <c r="C36" s="27">
        <v>1</v>
      </c>
      <c r="D36" s="27" t="s">
        <v>112</v>
      </c>
      <c r="E36" s="27" t="s">
        <v>113</v>
      </c>
      <c r="F36" s="26" t="s">
        <v>124</v>
      </c>
      <c r="G36" s="26" t="s">
        <v>35</v>
      </c>
      <c r="H36" s="26" t="s">
        <v>125</v>
      </c>
      <c r="I36" s="26" t="s">
        <v>126</v>
      </c>
      <c r="J36" s="26" t="s">
        <v>35</v>
      </c>
      <c r="K36" s="26" t="s">
        <v>38</v>
      </c>
      <c r="L36" s="33">
        <v>43475</v>
      </c>
      <c r="M36" s="35" t="s">
        <v>93</v>
      </c>
      <c r="N36" s="35"/>
      <c r="O36" s="30" t="s">
        <v>27</v>
      </c>
    </row>
    <row r="37" spans="1:20" customFormat="1">
      <c r="A37" s="53">
        <v>29</v>
      </c>
      <c r="B37" s="15" t="s">
        <v>127</v>
      </c>
      <c r="C37" s="16">
        <v>5</v>
      </c>
      <c r="D37" s="16" t="s">
        <v>35</v>
      </c>
      <c r="E37" s="16" t="s">
        <v>35</v>
      </c>
      <c r="F37" s="18" t="s">
        <v>15</v>
      </c>
      <c r="G37" s="18" t="s">
        <v>35</v>
      </c>
      <c r="H37" s="18"/>
      <c r="I37" s="18" t="s">
        <v>15</v>
      </c>
      <c r="J37" s="18" t="s">
        <v>15</v>
      </c>
      <c r="K37" s="18"/>
      <c r="L37" s="19">
        <v>43475</v>
      </c>
      <c r="M37" s="51" t="s">
        <v>15</v>
      </c>
      <c r="N37" s="51"/>
      <c r="O37" s="48" t="s">
        <v>17</v>
      </c>
    </row>
    <row r="38" spans="1:20" customFormat="1">
      <c r="A38" s="53">
        <v>7</v>
      </c>
      <c r="B38" s="15" t="s">
        <v>128</v>
      </c>
      <c r="C38" s="16">
        <v>4</v>
      </c>
      <c r="D38" s="16" t="s">
        <v>129</v>
      </c>
      <c r="E38" s="16">
        <v>333</v>
      </c>
      <c r="F38" s="18" t="s">
        <v>15</v>
      </c>
      <c r="G38" s="18" t="s">
        <v>15</v>
      </c>
      <c r="H38" s="18"/>
      <c r="I38" s="18" t="s">
        <v>35</v>
      </c>
      <c r="J38" s="18" t="s">
        <v>15</v>
      </c>
      <c r="K38" s="18"/>
      <c r="L38" s="19">
        <v>43475</v>
      </c>
      <c r="M38" s="51" t="s">
        <v>15</v>
      </c>
      <c r="N38" s="51"/>
      <c r="O38" s="48" t="s">
        <v>17</v>
      </c>
    </row>
    <row r="39" spans="1:20" customFormat="1">
      <c r="A39" s="53">
        <v>4</v>
      </c>
      <c r="B39" s="15" t="s">
        <v>130</v>
      </c>
      <c r="C39" s="16">
        <v>3</v>
      </c>
      <c r="D39" s="16" t="s">
        <v>15</v>
      </c>
      <c r="E39" s="16" t="s">
        <v>15</v>
      </c>
      <c r="F39" s="18" t="s">
        <v>15</v>
      </c>
      <c r="G39" s="18" t="s">
        <v>15</v>
      </c>
      <c r="H39" s="18"/>
      <c r="I39" s="18" t="s">
        <v>15</v>
      </c>
      <c r="J39" s="16" t="s">
        <v>15</v>
      </c>
      <c r="K39" s="16" t="s">
        <v>25</v>
      </c>
      <c r="L39" s="19">
        <v>43475</v>
      </c>
      <c r="M39" s="51" t="s">
        <v>15</v>
      </c>
      <c r="N39" s="51"/>
      <c r="O39" s="48" t="s">
        <v>17</v>
      </c>
    </row>
    <row r="40" spans="1:20" customFormat="1">
      <c r="A40" s="53"/>
      <c r="B40" s="27" t="s">
        <v>130</v>
      </c>
      <c r="C40" s="27">
        <v>1</v>
      </c>
      <c r="D40" s="54" t="s">
        <v>131</v>
      </c>
      <c r="E40" s="54" t="s">
        <v>132</v>
      </c>
      <c r="F40" s="55" t="s">
        <v>133</v>
      </c>
      <c r="G40" s="55" t="s">
        <v>134</v>
      </c>
      <c r="H40" s="55" t="s">
        <v>135</v>
      </c>
      <c r="I40" s="18"/>
      <c r="J40" s="16"/>
      <c r="K40" s="27" t="s">
        <v>25</v>
      </c>
      <c r="L40" s="19"/>
      <c r="M40" s="54" t="s">
        <v>78</v>
      </c>
      <c r="N40" s="56"/>
      <c r="O40" s="48"/>
    </row>
    <row r="41" spans="1:20" customFormat="1">
      <c r="A41" s="53"/>
      <c r="B41" s="27" t="s">
        <v>130</v>
      </c>
      <c r="C41" s="27">
        <v>1</v>
      </c>
      <c r="D41" s="54" t="s">
        <v>131</v>
      </c>
      <c r="E41" s="54" t="s">
        <v>132</v>
      </c>
      <c r="F41" s="55" t="s">
        <v>136</v>
      </c>
      <c r="G41" s="55" t="s">
        <v>134</v>
      </c>
      <c r="H41" s="55" t="s">
        <v>137</v>
      </c>
      <c r="I41" s="18"/>
      <c r="J41" s="16"/>
      <c r="K41" s="27" t="s">
        <v>25</v>
      </c>
      <c r="L41" s="19"/>
      <c r="M41" s="54" t="s">
        <v>78</v>
      </c>
      <c r="N41" s="56"/>
      <c r="O41" s="48"/>
    </row>
    <row r="42" spans="1:20" customFormat="1">
      <c r="A42" s="53"/>
      <c r="B42" s="27" t="s">
        <v>130</v>
      </c>
      <c r="C42" s="27">
        <v>1</v>
      </c>
      <c r="D42" s="54" t="s">
        <v>131</v>
      </c>
      <c r="E42" s="54" t="s">
        <v>132</v>
      </c>
      <c r="F42" s="55" t="s">
        <v>138</v>
      </c>
      <c r="G42" s="55" t="s">
        <v>134</v>
      </c>
      <c r="H42" s="55" t="s">
        <v>139</v>
      </c>
      <c r="I42" s="18"/>
      <c r="J42" s="16"/>
      <c r="K42" s="27" t="s">
        <v>25</v>
      </c>
      <c r="L42" s="19"/>
      <c r="M42" s="54" t="s">
        <v>78</v>
      </c>
      <c r="N42" s="56"/>
      <c r="O42" s="48"/>
    </row>
    <row r="43" spans="1:20" customFormat="1">
      <c r="A43" s="53"/>
      <c r="B43" s="15" t="s">
        <v>140</v>
      </c>
      <c r="C43" s="16">
        <v>3</v>
      </c>
      <c r="D43" s="16" t="s">
        <v>141</v>
      </c>
      <c r="E43" s="16" t="s">
        <v>142</v>
      </c>
      <c r="F43" s="18" t="s">
        <v>15</v>
      </c>
      <c r="G43" s="18" t="s">
        <v>143</v>
      </c>
      <c r="H43" s="18" t="s">
        <v>14</v>
      </c>
      <c r="I43" s="18" t="s">
        <v>15</v>
      </c>
      <c r="J43" s="18" t="s">
        <v>15</v>
      </c>
      <c r="K43" s="18"/>
      <c r="L43" s="19">
        <v>44777</v>
      </c>
      <c r="M43" s="51" t="s">
        <v>15</v>
      </c>
      <c r="N43" s="51"/>
      <c r="O43" s="48" t="s">
        <v>17</v>
      </c>
    </row>
    <row r="44" spans="1:20" customFormat="1">
      <c r="A44" s="53">
        <v>27</v>
      </c>
      <c r="B44" s="15" t="s">
        <v>144</v>
      </c>
      <c r="C44" s="16">
        <v>2</v>
      </c>
      <c r="D44" s="16" t="s">
        <v>145</v>
      </c>
      <c r="E44" s="16">
        <v>445815</v>
      </c>
      <c r="F44" s="18" t="s">
        <v>15</v>
      </c>
      <c r="G44" s="18" t="s">
        <v>15</v>
      </c>
      <c r="H44" s="18"/>
      <c r="I44" s="18"/>
      <c r="J44" s="18" t="s">
        <v>15</v>
      </c>
      <c r="K44" s="18"/>
      <c r="L44" s="19">
        <v>43475</v>
      </c>
      <c r="M44" s="51" t="s">
        <v>15</v>
      </c>
      <c r="N44" s="51"/>
      <c r="O44" s="48" t="s">
        <v>17</v>
      </c>
    </row>
    <row r="45" spans="1:20" customFormat="1">
      <c r="A45" s="16"/>
      <c r="B45" s="15" t="s">
        <v>146</v>
      </c>
      <c r="C45" s="16">
        <v>4</v>
      </c>
      <c r="D45" s="16" t="s">
        <v>15</v>
      </c>
      <c r="E45" s="16" t="s">
        <v>15</v>
      </c>
      <c r="F45" s="18" t="s">
        <v>15</v>
      </c>
      <c r="G45" s="18" t="s">
        <v>15</v>
      </c>
      <c r="H45" s="18"/>
      <c r="I45" s="18" t="s">
        <v>15</v>
      </c>
      <c r="J45" s="18" t="s">
        <v>15</v>
      </c>
      <c r="K45" s="18"/>
      <c r="L45" s="19">
        <v>43475</v>
      </c>
      <c r="M45" s="51" t="s">
        <v>15</v>
      </c>
      <c r="N45" s="51"/>
      <c r="O45" s="48" t="s">
        <v>17</v>
      </c>
      <c r="Q45" s="6"/>
    </row>
    <row r="46" spans="1:20" customFormat="1">
      <c r="A46" s="27"/>
      <c r="B46" s="27" t="s">
        <v>146</v>
      </c>
      <c r="C46" s="27">
        <v>1</v>
      </c>
      <c r="D46" s="27" t="s">
        <v>147</v>
      </c>
      <c r="E46" s="27" t="s">
        <v>148</v>
      </c>
      <c r="F46" s="26" t="s">
        <v>149</v>
      </c>
      <c r="G46" s="26" t="s">
        <v>35</v>
      </c>
      <c r="H46" s="26" t="s">
        <v>150</v>
      </c>
      <c r="I46" s="26" t="s">
        <v>35</v>
      </c>
      <c r="J46" s="26"/>
      <c r="K46" s="26" t="s">
        <v>151</v>
      </c>
      <c r="L46" s="33">
        <v>43475</v>
      </c>
      <c r="M46" s="35" t="s">
        <v>152</v>
      </c>
      <c r="N46" s="35"/>
      <c r="O46" s="30" t="s">
        <v>27</v>
      </c>
    </row>
    <row r="47" spans="1:20" s="53" customFormat="1">
      <c r="A47" s="27"/>
      <c r="B47" s="27" t="s">
        <v>146</v>
      </c>
      <c r="C47" s="27">
        <v>1</v>
      </c>
      <c r="D47" s="27" t="s">
        <v>147</v>
      </c>
      <c r="E47" s="27" t="s">
        <v>148</v>
      </c>
      <c r="F47" s="26" t="s">
        <v>153</v>
      </c>
      <c r="G47" s="26" t="s">
        <v>35</v>
      </c>
      <c r="H47" s="26" t="s">
        <v>154</v>
      </c>
      <c r="I47" s="26" t="s">
        <v>35</v>
      </c>
      <c r="J47" s="26"/>
      <c r="K47" s="26" t="s">
        <v>151</v>
      </c>
      <c r="L47" s="33">
        <v>43476</v>
      </c>
      <c r="M47" s="35" t="s">
        <v>152</v>
      </c>
      <c r="N47" s="35"/>
      <c r="O47" s="30" t="s">
        <v>27</v>
      </c>
      <c r="T47" s="1"/>
    </row>
    <row r="48" spans="1:20" s="53" customFormat="1">
      <c r="A48" s="27"/>
      <c r="B48" s="27" t="s">
        <v>146</v>
      </c>
      <c r="C48" s="27">
        <v>1</v>
      </c>
      <c r="D48" s="27" t="s">
        <v>155</v>
      </c>
      <c r="E48" s="27" t="s">
        <v>156</v>
      </c>
      <c r="F48" s="26" t="s">
        <v>157</v>
      </c>
      <c r="G48" s="26" t="s">
        <v>35</v>
      </c>
      <c r="H48" s="26" t="s">
        <v>158</v>
      </c>
      <c r="I48" s="26" t="s">
        <v>35</v>
      </c>
      <c r="J48" s="26"/>
      <c r="K48" s="26" t="s">
        <v>151</v>
      </c>
      <c r="L48" s="33">
        <v>43477</v>
      </c>
      <c r="M48" s="35" t="s">
        <v>152</v>
      </c>
      <c r="N48" s="35"/>
      <c r="O48" s="30" t="s">
        <v>27</v>
      </c>
      <c r="T48" s="1"/>
    </row>
    <row r="49" spans="1:20" s="53" customFormat="1">
      <c r="A49" s="27"/>
      <c r="B49" s="27" t="s">
        <v>146</v>
      </c>
      <c r="C49" s="27">
        <v>1</v>
      </c>
      <c r="D49" s="27" t="s">
        <v>155</v>
      </c>
      <c r="E49" s="27" t="s">
        <v>156</v>
      </c>
      <c r="F49" s="26" t="s">
        <v>159</v>
      </c>
      <c r="G49" s="26" t="s">
        <v>35</v>
      </c>
      <c r="H49" s="26" t="s">
        <v>160</v>
      </c>
      <c r="I49" s="26" t="s">
        <v>35</v>
      </c>
      <c r="J49" s="26"/>
      <c r="K49" s="26" t="s">
        <v>151</v>
      </c>
      <c r="L49" s="33">
        <v>43478</v>
      </c>
      <c r="M49" s="35" t="s">
        <v>152</v>
      </c>
      <c r="N49" s="35"/>
      <c r="O49" s="30" t="s">
        <v>27</v>
      </c>
      <c r="T49" s="1"/>
    </row>
    <row r="50" spans="1:20">
      <c r="A50" s="16">
        <v>96</v>
      </c>
      <c r="B50" s="15" t="s">
        <v>161</v>
      </c>
      <c r="C50" s="16">
        <v>5</v>
      </c>
      <c r="D50" s="16" t="s">
        <v>35</v>
      </c>
      <c r="E50" s="16" t="s">
        <v>35</v>
      </c>
      <c r="F50" s="18" t="s">
        <v>15</v>
      </c>
      <c r="G50" s="18" t="s">
        <v>15</v>
      </c>
      <c r="H50" s="18"/>
      <c r="I50" s="18" t="s">
        <v>15</v>
      </c>
      <c r="J50" s="18" t="s">
        <v>15</v>
      </c>
      <c r="K50" s="18"/>
      <c r="L50" s="19">
        <v>43475</v>
      </c>
      <c r="M50" s="51" t="s">
        <v>15</v>
      </c>
      <c r="N50" s="51"/>
      <c r="O50" s="48" t="s">
        <v>17</v>
      </c>
    </row>
    <row r="51" spans="1:20">
      <c r="A51" s="16"/>
      <c r="B51" s="15" t="s">
        <v>162</v>
      </c>
      <c r="C51" s="16">
        <v>6</v>
      </c>
      <c r="D51" s="16" t="s">
        <v>163</v>
      </c>
      <c r="E51" s="16" t="s">
        <v>164</v>
      </c>
      <c r="F51" s="18" t="s">
        <v>15</v>
      </c>
      <c r="G51" s="18" t="s">
        <v>165</v>
      </c>
      <c r="H51" s="18"/>
      <c r="I51" s="18"/>
      <c r="J51" s="18" t="s">
        <v>15</v>
      </c>
      <c r="K51" s="18"/>
      <c r="L51" s="19">
        <v>44000</v>
      </c>
      <c r="M51" s="47" t="s">
        <v>15</v>
      </c>
      <c r="N51" s="47"/>
      <c r="O51" s="18" t="s">
        <v>17</v>
      </c>
    </row>
    <row r="52" spans="1:20">
      <c r="A52" s="27"/>
      <c r="B52" s="27" t="s">
        <v>162</v>
      </c>
      <c r="C52" s="27">
        <v>1</v>
      </c>
      <c r="D52" s="27" t="s">
        <v>163</v>
      </c>
      <c r="E52" s="27" t="s">
        <v>164</v>
      </c>
      <c r="F52" s="26">
        <v>181400002325</v>
      </c>
      <c r="G52" s="26" t="s">
        <v>166</v>
      </c>
      <c r="H52" s="55" t="s">
        <v>167</v>
      </c>
      <c r="I52" s="26" t="s">
        <v>168</v>
      </c>
      <c r="J52" s="26">
        <v>3471403</v>
      </c>
      <c r="K52" s="26" t="s">
        <v>25</v>
      </c>
      <c r="L52" s="33">
        <v>44000</v>
      </c>
      <c r="M52" s="35" t="s">
        <v>169</v>
      </c>
      <c r="N52" s="35"/>
      <c r="O52" s="30" t="s">
        <v>27</v>
      </c>
    </row>
    <row r="53" spans="1:20">
      <c r="A53" s="27"/>
      <c r="B53" s="27" t="s">
        <v>162</v>
      </c>
      <c r="C53" s="27">
        <v>1</v>
      </c>
      <c r="D53" s="27" t="s">
        <v>163</v>
      </c>
      <c r="E53" s="27" t="s">
        <v>164</v>
      </c>
      <c r="F53" s="26">
        <v>181400002281</v>
      </c>
      <c r="G53" s="26" t="s">
        <v>170</v>
      </c>
      <c r="H53" s="55" t="s">
        <v>171</v>
      </c>
      <c r="I53" s="26" t="s">
        <v>172</v>
      </c>
      <c r="J53" s="26">
        <v>3471399</v>
      </c>
      <c r="K53" s="26" t="s">
        <v>25</v>
      </c>
      <c r="L53" s="33">
        <v>44000</v>
      </c>
      <c r="M53" s="35" t="s">
        <v>102</v>
      </c>
      <c r="N53" s="35"/>
      <c r="O53" s="30" t="s">
        <v>27</v>
      </c>
    </row>
    <row r="54" spans="1:20">
      <c r="B54" s="27" t="s">
        <v>162</v>
      </c>
      <c r="C54" s="27">
        <v>1</v>
      </c>
      <c r="D54" s="27" t="s">
        <v>163</v>
      </c>
      <c r="E54" s="27" t="s">
        <v>164</v>
      </c>
      <c r="F54" s="26">
        <v>181400002280</v>
      </c>
      <c r="G54" s="26" t="s">
        <v>173</v>
      </c>
      <c r="H54" s="55" t="s">
        <v>174</v>
      </c>
      <c r="I54" s="26" t="s">
        <v>175</v>
      </c>
      <c r="J54" s="26">
        <v>3471398</v>
      </c>
      <c r="K54" s="26" t="s">
        <v>25</v>
      </c>
      <c r="L54" s="33">
        <v>44000</v>
      </c>
      <c r="M54" s="35" t="s">
        <v>78</v>
      </c>
      <c r="N54" s="35"/>
      <c r="O54" s="30" t="s">
        <v>27</v>
      </c>
    </row>
    <row r="55" spans="1:20">
      <c r="B55" s="27" t="s">
        <v>162</v>
      </c>
      <c r="C55" s="27">
        <v>1</v>
      </c>
      <c r="D55" s="27" t="s">
        <v>163</v>
      </c>
      <c r="E55" s="27" t="s">
        <v>164</v>
      </c>
      <c r="F55" s="26">
        <v>181400002286</v>
      </c>
      <c r="G55" s="26" t="s">
        <v>176</v>
      </c>
      <c r="H55" s="55" t="s">
        <v>177</v>
      </c>
      <c r="I55" s="26" t="s">
        <v>178</v>
      </c>
      <c r="J55" s="26">
        <v>3471401</v>
      </c>
      <c r="K55" s="26" t="s">
        <v>25</v>
      </c>
      <c r="L55" s="33">
        <v>44000</v>
      </c>
      <c r="M55" s="35" t="s">
        <v>78</v>
      </c>
      <c r="N55" s="35"/>
      <c r="O55" s="30" t="s">
        <v>27</v>
      </c>
    </row>
    <row r="56" spans="1:20">
      <c r="B56" s="27" t="s">
        <v>162</v>
      </c>
      <c r="C56" s="27">
        <v>1</v>
      </c>
      <c r="D56" s="27" t="s">
        <v>163</v>
      </c>
      <c r="E56" s="27" t="s">
        <v>164</v>
      </c>
      <c r="F56" s="26">
        <v>181400002287</v>
      </c>
      <c r="G56" s="26" t="s">
        <v>179</v>
      </c>
      <c r="H56" s="55" t="s">
        <v>180</v>
      </c>
      <c r="I56" s="26" t="s">
        <v>181</v>
      </c>
      <c r="J56" s="26">
        <v>3471402</v>
      </c>
      <c r="K56" s="26" t="s">
        <v>25</v>
      </c>
      <c r="L56" s="33">
        <v>44000</v>
      </c>
      <c r="M56" s="35" t="s">
        <v>102</v>
      </c>
      <c r="N56" s="35"/>
      <c r="O56" s="30" t="s">
        <v>27</v>
      </c>
    </row>
    <row r="57" spans="1:20">
      <c r="B57" s="27" t="s">
        <v>162</v>
      </c>
      <c r="C57" s="27">
        <v>1</v>
      </c>
      <c r="D57" s="27" t="s">
        <v>163</v>
      </c>
      <c r="E57" s="27" t="s">
        <v>164</v>
      </c>
      <c r="F57" s="26">
        <v>181400002284</v>
      </c>
      <c r="G57" s="26" t="s">
        <v>182</v>
      </c>
      <c r="H57" s="55" t="s">
        <v>183</v>
      </c>
      <c r="I57" s="26" t="s">
        <v>184</v>
      </c>
      <c r="J57" s="26">
        <v>3471400</v>
      </c>
      <c r="K57" s="26" t="s">
        <v>25</v>
      </c>
      <c r="L57" s="33">
        <v>44000</v>
      </c>
      <c r="M57" s="35" t="s">
        <v>185</v>
      </c>
      <c r="N57" s="35"/>
      <c r="O57" s="30" t="s">
        <v>27</v>
      </c>
    </row>
    <row r="58" spans="1:20">
      <c r="A58" s="57"/>
      <c r="B58" s="15" t="s">
        <v>186</v>
      </c>
      <c r="C58" s="16">
        <v>6</v>
      </c>
      <c r="D58" s="16" t="s">
        <v>187</v>
      </c>
      <c r="E58" s="16" t="s">
        <v>188</v>
      </c>
      <c r="F58" s="18" t="s">
        <v>35</v>
      </c>
      <c r="G58" s="18" t="s">
        <v>189</v>
      </c>
      <c r="H58" s="18" t="s">
        <v>190</v>
      </c>
      <c r="I58" s="18" t="s">
        <v>35</v>
      </c>
      <c r="J58" s="18" t="s">
        <v>15</v>
      </c>
      <c r="K58" s="18" t="s">
        <v>25</v>
      </c>
      <c r="L58" s="19">
        <v>43899</v>
      </c>
      <c r="M58" s="51" t="s">
        <v>15</v>
      </c>
      <c r="N58" s="51"/>
      <c r="O58" s="48" t="s">
        <v>27</v>
      </c>
    </row>
    <row r="59" spans="1:20">
      <c r="A59" s="27"/>
      <c r="B59" s="58" t="s">
        <v>191</v>
      </c>
      <c r="C59" s="59">
        <v>9</v>
      </c>
      <c r="D59" s="59" t="s">
        <v>15</v>
      </c>
      <c r="E59" s="59" t="s">
        <v>15</v>
      </c>
      <c r="F59" s="60" t="s">
        <v>15</v>
      </c>
      <c r="G59" s="60" t="s">
        <v>15</v>
      </c>
      <c r="H59" s="60" t="s">
        <v>14</v>
      </c>
      <c r="I59" s="60" t="s">
        <v>15</v>
      </c>
      <c r="J59" s="60" t="s">
        <v>15</v>
      </c>
      <c r="K59" s="60"/>
      <c r="L59" s="61" t="s">
        <v>15</v>
      </c>
      <c r="M59" s="62" t="s">
        <v>15</v>
      </c>
      <c r="N59" s="62"/>
      <c r="O59" s="59">
        <v>8</v>
      </c>
    </row>
    <row r="60" spans="1:20">
      <c r="A60" s="27"/>
      <c r="B60" s="27" t="s">
        <v>191</v>
      </c>
      <c r="C60" s="27">
        <v>1</v>
      </c>
      <c r="D60" s="27" t="s">
        <v>192</v>
      </c>
      <c r="E60" s="27" t="s">
        <v>193</v>
      </c>
      <c r="F60" s="26" t="s">
        <v>194</v>
      </c>
      <c r="G60" s="26" t="s">
        <v>35</v>
      </c>
      <c r="H60" s="26" t="s">
        <v>195</v>
      </c>
      <c r="I60" s="52" t="s">
        <v>196</v>
      </c>
      <c r="J60" s="26" t="s">
        <v>35</v>
      </c>
      <c r="K60" s="26" t="s">
        <v>38</v>
      </c>
      <c r="L60" s="33">
        <v>43475</v>
      </c>
      <c r="M60" s="63" t="s">
        <v>117</v>
      </c>
      <c r="N60" s="63"/>
      <c r="O60" s="26" t="s">
        <v>27</v>
      </c>
    </row>
    <row r="61" spans="1:20">
      <c r="A61" s="27"/>
      <c r="B61" s="27" t="s">
        <v>191</v>
      </c>
      <c r="C61" s="27">
        <v>1</v>
      </c>
      <c r="D61" s="27" t="s">
        <v>192</v>
      </c>
      <c r="E61" s="27" t="s">
        <v>193</v>
      </c>
      <c r="F61" s="26" t="s">
        <v>197</v>
      </c>
      <c r="G61" s="64" t="s">
        <v>35</v>
      </c>
      <c r="H61" s="26" t="s">
        <v>198</v>
      </c>
      <c r="I61" s="52" t="s">
        <v>199</v>
      </c>
      <c r="J61" s="26" t="s">
        <v>35</v>
      </c>
      <c r="K61" s="26" t="s">
        <v>38</v>
      </c>
      <c r="L61" s="33">
        <v>43475</v>
      </c>
      <c r="M61" s="63" t="s">
        <v>117</v>
      </c>
      <c r="N61" s="63"/>
      <c r="O61" s="26" t="s">
        <v>27</v>
      </c>
    </row>
    <row r="62" spans="1:20">
      <c r="A62" s="27"/>
      <c r="B62" s="27" t="s">
        <v>191</v>
      </c>
      <c r="C62" s="27">
        <v>1</v>
      </c>
      <c r="D62" s="27" t="s">
        <v>192</v>
      </c>
      <c r="E62" s="27" t="s">
        <v>193</v>
      </c>
      <c r="F62" s="26" t="s">
        <v>200</v>
      </c>
      <c r="G62" s="26" t="s">
        <v>35</v>
      </c>
      <c r="H62" s="26" t="s">
        <v>201</v>
      </c>
      <c r="I62" s="52" t="s">
        <v>202</v>
      </c>
      <c r="J62" s="26" t="s">
        <v>35</v>
      </c>
      <c r="K62" s="26" t="s">
        <v>38</v>
      </c>
      <c r="L62" s="33">
        <v>43475</v>
      </c>
      <c r="M62" s="63" t="s">
        <v>117</v>
      </c>
      <c r="N62" s="63"/>
      <c r="O62" s="26" t="s">
        <v>27</v>
      </c>
    </row>
    <row r="63" spans="1:20" customFormat="1">
      <c r="A63" s="27"/>
      <c r="B63" s="27" t="s">
        <v>191</v>
      </c>
      <c r="C63" s="27">
        <v>1</v>
      </c>
      <c r="D63" s="27" t="s">
        <v>203</v>
      </c>
      <c r="E63" s="27">
        <v>179</v>
      </c>
      <c r="F63" s="26">
        <v>96050083</v>
      </c>
      <c r="G63" s="26" t="s">
        <v>35</v>
      </c>
      <c r="H63" s="26" t="s">
        <v>204</v>
      </c>
      <c r="I63" s="26" t="s">
        <v>205</v>
      </c>
      <c r="J63" s="26" t="s">
        <v>35</v>
      </c>
      <c r="K63" s="26" t="s">
        <v>38</v>
      </c>
      <c r="L63" s="33">
        <v>43475</v>
      </c>
      <c r="M63" s="63" t="s">
        <v>117</v>
      </c>
      <c r="N63" s="63"/>
      <c r="O63" s="26" t="s">
        <v>27</v>
      </c>
    </row>
    <row r="64" spans="1:20" customFormat="1">
      <c r="A64" s="27"/>
      <c r="B64" s="27" t="s">
        <v>191</v>
      </c>
      <c r="C64" s="27">
        <v>1</v>
      </c>
      <c r="D64" s="27" t="s">
        <v>203</v>
      </c>
      <c r="E64" s="27">
        <v>179</v>
      </c>
      <c r="F64" s="26">
        <v>97330060</v>
      </c>
      <c r="G64" s="26" t="s">
        <v>35</v>
      </c>
      <c r="H64" s="26" t="s">
        <v>206</v>
      </c>
      <c r="I64" s="26" t="s">
        <v>207</v>
      </c>
      <c r="J64" s="26" t="s">
        <v>35</v>
      </c>
      <c r="K64" s="26" t="s">
        <v>38</v>
      </c>
      <c r="L64" s="33">
        <v>43475</v>
      </c>
      <c r="M64" s="63" t="s">
        <v>117</v>
      </c>
      <c r="N64" s="63"/>
      <c r="O64" s="26" t="s">
        <v>27</v>
      </c>
    </row>
    <row r="65" spans="1:15" customFormat="1">
      <c r="A65" s="27"/>
      <c r="B65" s="27" t="s">
        <v>191</v>
      </c>
      <c r="C65" s="27">
        <v>1</v>
      </c>
      <c r="D65" s="27" t="s">
        <v>145</v>
      </c>
      <c r="E65" s="27" t="s">
        <v>208</v>
      </c>
      <c r="F65" s="26" t="s">
        <v>209</v>
      </c>
      <c r="G65" s="26">
        <v>500207510423</v>
      </c>
      <c r="H65" s="65" t="s">
        <v>210</v>
      </c>
      <c r="I65" s="18" t="s">
        <v>211</v>
      </c>
      <c r="J65" s="26" t="s">
        <v>35</v>
      </c>
      <c r="K65" s="26" t="s">
        <v>38</v>
      </c>
      <c r="L65" s="33">
        <v>44661</v>
      </c>
      <c r="M65" s="63" t="s">
        <v>117</v>
      </c>
      <c r="N65" s="63"/>
      <c r="O65" s="26" t="s">
        <v>27</v>
      </c>
    </row>
    <row r="66" spans="1:15" customFormat="1">
      <c r="A66" s="27"/>
      <c r="B66" s="27" t="s">
        <v>191</v>
      </c>
      <c r="C66" s="27">
        <v>1</v>
      </c>
      <c r="D66" s="27" t="s">
        <v>145</v>
      </c>
      <c r="E66" s="27" t="s">
        <v>208</v>
      </c>
      <c r="F66" s="26" t="s">
        <v>212</v>
      </c>
      <c r="G66" s="26">
        <v>500207510422</v>
      </c>
      <c r="H66" s="18" t="s">
        <v>213</v>
      </c>
      <c r="I66" s="18" t="s">
        <v>214</v>
      </c>
      <c r="J66" s="26" t="s">
        <v>35</v>
      </c>
      <c r="K66" s="26" t="s">
        <v>38</v>
      </c>
      <c r="L66" s="33">
        <v>44661</v>
      </c>
      <c r="M66" s="63" t="s">
        <v>117</v>
      </c>
      <c r="N66" s="63"/>
      <c r="O66" s="26" t="s">
        <v>27</v>
      </c>
    </row>
    <row r="67" spans="1:15" customFormat="1">
      <c r="A67" s="27"/>
      <c r="B67" s="27" t="s">
        <v>191</v>
      </c>
      <c r="C67" s="27">
        <v>1</v>
      </c>
      <c r="D67" s="27" t="s">
        <v>145</v>
      </c>
      <c r="E67" s="27" t="s">
        <v>208</v>
      </c>
      <c r="F67" s="26" t="s">
        <v>215</v>
      </c>
      <c r="G67" s="26">
        <v>500207510418</v>
      </c>
      <c r="H67" s="18" t="s">
        <v>216</v>
      </c>
      <c r="I67" s="18" t="s">
        <v>217</v>
      </c>
      <c r="J67" s="26" t="s">
        <v>35</v>
      </c>
      <c r="K67" s="26" t="s">
        <v>38</v>
      </c>
      <c r="L67" s="33">
        <v>44661</v>
      </c>
      <c r="M67" s="63" t="s">
        <v>117</v>
      </c>
      <c r="N67" s="63"/>
      <c r="O67" s="26" t="s">
        <v>27</v>
      </c>
    </row>
    <row r="68" spans="1:15" customFormat="1">
      <c r="A68" s="27"/>
      <c r="B68" s="66" t="s">
        <v>191</v>
      </c>
      <c r="C68" s="66">
        <v>1</v>
      </c>
      <c r="D68" s="66" t="s">
        <v>203</v>
      </c>
      <c r="E68" s="66">
        <v>179</v>
      </c>
      <c r="F68" s="67"/>
      <c r="G68" s="67" t="s">
        <v>35</v>
      </c>
      <c r="H68" s="60" t="s">
        <v>218</v>
      </c>
      <c r="I68" s="67"/>
      <c r="J68" s="67"/>
      <c r="K68" s="67" t="s">
        <v>38</v>
      </c>
      <c r="L68" s="68">
        <v>43475</v>
      </c>
      <c r="M68" s="69"/>
      <c r="N68" s="69"/>
      <c r="O68" s="70" t="s">
        <v>219</v>
      </c>
    </row>
    <row r="69" spans="1:15" customFormat="1">
      <c r="A69" s="16">
        <v>91</v>
      </c>
      <c r="B69" s="15" t="s">
        <v>31</v>
      </c>
      <c r="C69" s="16">
        <v>7</v>
      </c>
      <c r="D69" s="16" t="s">
        <v>32</v>
      </c>
      <c r="E69" s="16" t="s">
        <v>33</v>
      </c>
      <c r="F69" s="18" t="s">
        <v>15</v>
      </c>
      <c r="G69" s="18"/>
      <c r="H69" s="18" t="s">
        <v>220</v>
      </c>
      <c r="I69" s="18" t="s">
        <v>15</v>
      </c>
      <c r="J69" s="18"/>
      <c r="K69" s="18"/>
      <c r="L69" s="19">
        <v>43475</v>
      </c>
      <c r="M69" s="51" t="s">
        <v>15</v>
      </c>
      <c r="N69" s="51"/>
      <c r="O69" s="48" t="s">
        <v>17</v>
      </c>
    </row>
    <row r="70" spans="1:15" customFormat="1">
      <c r="A70" s="27"/>
      <c r="B70" s="27" t="s">
        <v>221</v>
      </c>
      <c r="C70" s="27">
        <v>1</v>
      </c>
      <c r="D70" s="27" t="s">
        <v>35</v>
      </c>
      <c r="E70" s="27" t="s">
        <v>35</v>
      </c>
      <c r="F70" s="27" t="s">
        <v>35</v>
      </c>
      <c r="G70" s="27" t="s">
        <v>35</v>
      </c>
      <c r="H70" s="26" t="s">
        <v>222</v>
      </c>
      <c r="I70" s="52" t="s">
        <v>223</v>
      </c>
      <c r="J70" s="26" t="s">
        <v>35</v>
      </c>
      <c r="K70" s="26" t="s">
        <v>25</v>
      </c>
      <c r="L70" s="33">
        <v>43475</v>
      </c>
      <c r="M70" s="71" t="s">
        <v>224</v>
      </c>
      <c r="N70" s="71"/>
      <c r="O70" s="27" t="s">
        <v>27</v>
      </c>
    </row>
    <row r="71" spans="1:15" customFormat="1">
      <c r="A71" s="27"/>
      <c r="B71" s="27" t="s">
        <v>221</v>
      </c>
      <c r="C71" s="27">
        <v>1</v>
      </c>
      <c r="D71" s="27" t="s">
        <v>35</v>
      </c>
      <c r="E71" s="27" t="s">
        <v>35</v>
      </c>
      <c r="F71" s="27" t="s">
        <v>35</v>
      </c>
      <c r="G71" s="27" t="s">
        <v>35</v>
      </c>
      <c r="H71" s="26" t="s">
        <v>225</v>
      </c>
      <c r="I71" s="52" t="s">
        <v>226</v>
      </c>
      <c r="J71" s="26" t="s">
        <v>35</v>
      </c>
      <c r="K71" s="26" t="s">
        <v>25</v>
      </c>
      <c r="L71" s="33">
        <v>43475</v>
      </c>
      <c r="M71" s="71" t="s">
        <v>227</v>
      </c>
      <c r="N71" s="71"/>
      <c r="O71" s="27" t="s">
        <v>27</v>
      </c>
    </row>
    <row r="72" spans="1:15" customFormat="1">
      <c r="A72" s="27"/>
      <c r="B72" s="27" t="s">
        <v>221</v>
      </c>
      <c r="C72" s="27">
        <v>1</v>
      </c>
      <c r="D72" s="27" t="s">
        <v>35</v>
      </c>
      <c r="E72" s="27" t="s">
        <v>35</v>
      </c>
      <c r="F72" s="26" t="s">
        <v>35</v>
      </c>
      <c r="G72" s="27" t="s">
        <v>35</v>
      </c>
      <c r="H72" s="26" t="s">
        <v>228</v>
      </c>
      <c r="I72" s="52" t="s">
        <v>229</v>
      </c>
      <c r="J72" s="26" t="s">
        <v>35</v>
      </c>
      <c r="K72" s="26" t="s">
        <v>25</v>
      </c>
      <c r="L72" s="33">
        <v>43475</v>
      </c>
      <c r="M72" s="35" t="s">
        <v>230</v>
      </c>
      <c r="N72" s="35"/>
      <c r="O72" s="30" t="s">
        <v>27</v>
      </c>
    </row>
    <row r="73" spans="1:15" customFormat="1">
      <c r="A73" s="27"/>
      <c r="B73" s="27" t="s">
        <v>221</v>
      </c>
      <c r="C73" s="27">
        <v>1</v>
      </c>
      <c r="D73" s="27" t="s">
        <v>35</v>
      </c>
      <c r="E73" s="27" t="s">
        <v>35</v>
      </c>
      <c r="F73" s="26" t="s">
        <v>35</v>
      </c>
      <c r="G73" s="27" t="s">
        <v>35</v>
      </c>
      <c r="H73" s="26" t="s">
        <v>231</v>
      </c>
      <c r="I73" s="26"/>
      <c r="J73" s="26" t="s">
        <v>35</v>
      </c>
      <c r="K73" s="26" t="s">
        <v>25</v>
      </c>
      <c r="L73" s="33">
        <v>43475</v>
      </c>
      <c r="M73" s="35" t="s">
        <v>93</v>
      </c>
      <c r="N73" s="35"/>
      <c r="O73" s="30" t="s">
        <v>94</v>
      </c>
    </row>
    <row r="74" spans="1:15" customFormat="1">
      <c r="A74" s="72">
        <v>82</v>
      </c>
      <c r="B74" s="15" t="s">
        <v>232</v>
      </c>
      <c r="C74" s="16">
        <v>3</v>
      </c>
      <c r="D74" s="16" t="s">
        <v>15</v>
      </c>
      <c r="E74" s="16" t="s">
        <v>15</v>
      </c>
      <c r="F74" s="18" t="s">
        <v>15</v>
      </c>
      <c r="G74" s="18" t="s">
        <v>15</v>
      </c>
      <c r="H74" s="18"/>
      <c r="I74" s="18" t="s">
        <v>15</v>
      </c>
      <c r="J74" s="18" t="s">
        <v>15</v>
      </c>
      <c r="K74" s="18"/>
      <c r="L74" s="19">
        <v>43475</v>
      </c>
      <c r="M74" s="51" t="s">
        <v>15</v>
      </c>
      <c r="N74" s="51"/>
      <c r="O74" s="48" t="s">
        <v>17</v>
      </c>
    </row>
    <row r="75" spans="1:15" customFormat="1">
      <c r="A75" s="27"/>
      <c r="B75" s="27" t="s">
        <v>232</v>
      </c>
      <c r="C75" s="27">
        <v>2</v>
      </c>
      <c r="D75" s="27" t="s">
        <v>233</v>
      </c>
      <c r="E75" s="27" t="s">
        <v>35</v>
      </c>
      <c r="F75" s="26" t="s">
        <v>35</v>
      </c>
      <c r="G75" s="26" t="s">
        <v>35</v>
      </c>
      <c r="H75" s="26" t="s">
        <v>234</v>
      </c>
      <c r="I75" s="52" t="s">
        <v>235</v>
      </c>
      <c r="J75" s="26"/>
      <c r="K75" s="26" t="s">
        <v>25</v>
      </c>
      <c r="L75" s="33">
        <v>43475</v>
      </c>
      <c r="M75" s="35" t="s">
        <v>236</v>
      </c>
      <c r="N75" s="35"/>
      <c r="O75" s="30" t="s">
        <v>27</v>
      </c>
    </row>
    <row r="76" spans="1:15" customFormat="1">
      <c r="A76" s="27"/>
      <c r="B76" s="27" t="s">
        <v>232</v>
      </c>
      <c r="C76" s="27">
        <v>1</v>
      </c>
      <c r="D76" s="27" t="s">
        <v>233</v>
      </c>
      <c r="E76" s="27" t="s">
        <v>237</v>
      </c>
      <c r="F76" s="26">
        <v>31889</v>
      </c>
      <c r="G76" s="26" t="s">
        <v>35</v>
      </c>
      <c r="H76" s="26" t="s">
        <v>238</v>
      </c>
      <c r="I76" s="52" t="s">
        <v>239</v>
      </c>
      <c r="J76" s="26" t="s">
        <v>35</v>
      </c>
      <c r="K76" s="26" t="s">
        <v>25</v>
      </c>
      <c r="L76" s="33">
        <v>43475</v>
      </c>
      <c r="M76" s="35" t="s">
        <v>26</v>
      </c>
      <c r="N76" s="35"/>
      <c r="O76" s="30" t="s">
        <v>27</v>
      </c>
    </row>
    <row r="77" spans="1:15" customFormat="1">
      <c r="A77" s="27"/>
      <c r="B77" s="27" t="s">
        <v>232</v>
      </c>
      <c r="C77" s="27">
        <v>1</v>
      </c>
      <c r="D77" s="27" t="s">
        <v>233</v>
      </c>
      <c r="E77" s="27" t="s">
        <v>240</v>
      </c>
      <c r="F77" s="26">
        <v>35101</v>
      </c>
      <c r="G77" s="26" t="s">
        <v>35</v>
      </c>
      <c r="H77" s="26" t="s">
        <v>241</v>
      </c>
      <c r="I77" s="52" t="s">
        <v>242</v>
      </c>
      <c r="J77" s="26" t="s">
        <v>35</v>
      </c>
      <c r="K77" s="26" t="s">
        <v>25</v>
      </c>
      <c r="L77" s="33">
        <v>43475</v>
      </c>
      <c r="M77" s="35" t="s">
        <v>78</v>
      </c>
      <c r="N77" s="35"/>
      <c r="O77" s="30" t="s">
        <v>27</v>
      </c>
    </row>
    <row r="78" spans="1:15" customFormat="1">
      <c r="A78" s="16">
        <v>44</v>
      </c>
      <c r="B78" s="15" t="s">
        <v>243</v>
      </c>
      <c r="C78" s="16">
        <v>10</v>
      </c>
      <c r="D78" s="16" t="s">
        <v>244</v>
      </c>
      <c r="E78" s="16" t="s">
        <v>245</v>
      </c>
      <c r="F78" s="18" t="s">
        <v>15</v>
      </c>
      <c r="G78" s="18" t="s">
        <v>35</v>
      </c>
      <c r="H78" s="18"/>
      <c r="I78" s="18" t="s">
        <v>15</v>
      </c>
      <c r="J78" s="18" t="s">
        <v>35</v>
      </c>
      <c r="K78" s="18"/>
      <c r="L78" s="19">
        <v>43475</v>
      </c>
      <c r="M78" s="51" t="s">
        <v>15</v>
      </c>
      <c r="N78" s="51"/>
      <c r="O78" s="48" t="s">
        <v>17</v>
      </c>
    </row>
    <row r="79" spans="1:15" customFormat="1">
      <c r="A79" s="73">
        <v>42</v>
      </c>
      <c r="B79" s="15" t="s">
        <v>246</v>
      </c>
      <c r="C79" s="16">
        <v>10</v>
      </c>
      <c r="D79" s="16" t="s">
        <v>244</v>
      </c>
      <c r="E79" s="16" t="s">
        <v>247</v>
      </c>
      <c r="F79" s="18" t="s">
        <v>15</v>
      </c>
      <c r="G79" s="18" t="s">
        <v>35</v>
      </c>
      <c r="H79" s="18"/>
      <c r="I79" s="18" t="s">
        <v>15</v>
      </c>
      <c r="J79" s="18" t="s">
        <v>35</v>
      </c>
      <c r="K79" s="18"/>
      <c r="L79" s="19">
        <v>43475</v>
      </c>
      <c r="M79" s="51" t="s">
        <v>15</v>
      </c>
      <c r="N79" s="51"/>
      <c r="O79" s="48" t="s">
        <v>17</v>
      </c>
    </row>
    <row r="80" spans="1:15" customFormat="1">
      <c r="A80" s="73">
        <v>56</v>
      </c>
      <c r="B80" s="15" t="s">
        <v>248</v>
      </c>
      <c r="C80" s="16">
        <v>4</v>
      </c>
      <c r="D80" s="16" t="s">
        <v>35</v>
      </c>
      <c r="E80" s="16" t="s">
        <v>35</v>
      </c>
      <c r="F80" s="18" t="s">
        <v>35</v>
      </c>
      <c r="G80" s="18" t="s">
        <v>35</v>
      </c>
      <c r="H80" s="18" t="s">
        <v>249</v>
      </c>
      <c r="I80" s="18" t="s">
        <v>35</v>
      </c>
      <c r="J80" s="18" t="s">
        <v>35</v>
      </c>
      <c r="K80" s="18" t="s">
        <v>25</v>
      </c>
      <c r="L80" s="19">
        <v>43475</v>
      </c>
      <c r="M80" s="51" t="s">
        <v>15</v>
      </c>
      <c r="N80" s="51"/>
      <c r="O80" s="48" t="s">
        <v>27</v>
      </c>
    </row>
    <row r="81" spans="1:18" customFormat="1">
      <c r="A81" s="16"/>
      <c r="B81" s="15" t="s">
        <v>250</v>
      </c>
      <c r="C81" s="16">
        <v>2</v>
      </c>
      <c r="D81" s="16" t="s">
        <v>147</v>
      </c>
      <c r="E81" s="16" t="s">
        <v>15</v>
      </c>
      <c r="F81" s="18" t="s">
        <v>15</v>
      </c>
      <c r="G81" s="18" t="s">
        <v>15</v>
      </c>
      <c r="H81" s="18" t="s">
        <v>14</v>
      </c>
      <c r="I81" s="18" t="s">
        <v>15</v>
      </c>
      <c r="J81" s="18" t="s">
        <v>15</v>
      </c>
      <c r="K81" s="18"/>
      <c r="L81" s="19" t="s">
        <v>14</v>
      </c>
      <c r="M81" s="51" t="s">
        <v>15</v>
      </c>
      <c r="N81" s="51"/>
      <c r="O81" s="48" t="s">
        <v>17</v>
      </c>
      <c r="R81" s="6"/>
    </row>
    <row r="82" spans="1:18" customFormat="1">
      <c r="A82" s="16"/>
      <c r="B82" s="15" t="s">
        <v>251</v>
      </c>
      <c r="C82" s="16">
        <v>2</v>
      </c>
      <c r="D82" s="16" t="s">
        <v>252</v>
      </c>
      <c r="E82" s="16" t="s">
        <v>253</v>
      </c>
      <c r="F82" s="18" t="s">
        <v>15</v>
      </c>
      <c r="G82" s="18" t="s">
        <v>254</v>
      </c>
      <c r="H82" s="18"/>
      <c r="I82" s="18" t="s">
        <v>15</v>
      </c>
      <c r="J82" s="18" t="s">
        <v>15</v>
      </c>
      <c r="K82" s="18"/>
      <c r="L82" s="19">
        <v>44226</v>
      </c>
      <c r="M82" s="47" t="s">
        <v>15</v>
      </c>
      <c r="N82" s="47"/>
      <c r="O82" s="18" t="s">
        <v>17</v>
      </c>
    </row>
    <row r="83" spans="1:18" customFormat="1">
      <c r="A83" s="1"/>
      <c r="B83" s="27" t="s">
        <v>255</v>
      </c>
      <c r="C83" s="27">
        <v>1</v>
      </c>
      <c r="D83" s="27" t="s">
        <v>256</v>
      </c>
      <c r="E83" s="27" t="s">
        <v>257</v>
      </c>
      <c r="F83" s="26" t="s">
        <v>258</v>
      </c>
      <c r="G83" s="26" t="s">
        <v>259</v>
      </c>
      <c r="H83" s="36" t="s">
        <v>260</v>
      </c>
      <c r="I83" s="18" t="s">
        <v>261</v>
      </c>
      <c r="J83" s="26"/>
      <c r="K83" s="26" t="s">
        <v>38</v>
      </c>
      <c r="L83" s="33">
        <v>44816</v>
      </c>
      <c r="M83" s="35" t="s">
        <v>262</v>
      </c>
      <c r="N83" s="35"/>
      <c r="O83" s="30" t="s">
        <v>27</v>
      </c>
    </row>
    <row r="84" spans="1:18" customFormat="1">
      <c r="A84" s="1"/>
      <c r="B84" s="27" t="s">
        <v>255</v>
      </c>
      <c r="C84" s="27">
        <v>1</v>
      </c>
      <c r="D84" s="27" t="s">
        <v>256</v>
      </c>
      <c r="E84" s="27" t="s">
        <v>257</v>
      </c>
      <c r="F84" s="26" t="s">
        <v>263</v>
      </c>
      <c r="G84" s="26" t="s">
        <v>259</v>
      </c>
      <c r="H84" s="36" t="s">
        <v>264</v>
      </c>
      <c r="I84" s="18" t="s">
        <v>265</v>
      </c>
      <c r="J84" s="26"/>
      <c r="K84" s="26" t="s">
        <v>38</v>
      </c>
      <c r="L84" s="33">
        <v>44816</v>
      </c>
      <c r="M84" s="35" t="s">
        <v>262</v>
      </c>
      <c r="N84" s="35"/>
      <c r="O84" s="30" t="s">
        <v>27</v>
      </c>
      <c r="Q84" s="6"/>
    </row>
    <row r="85" spans="1:18" customFormat="1">
      <c r="A85" s="16">
        <v>5</v>
      </c>
      <c r="B85" s="15" t="s">
        <v>266</v>
      </c>
      <c r="C85" s="16">
        <v>1</v>
      </c>
      <c r="D85" s="16" t="s">
        <v>35</v>
      </c>
      <c r="E85" s="16" t="s">
        <v>267</v>
      </c>
      <c r="F85" s="18" t="s">
        <v>35</v>
      </c>
      <c r="G85" s="18">
        <v>500204400644</v>
      </c>
      <c r="H85" s="18" t="s">
        <v>268</v>
      </c>
      <c r="I85" s="18" t="s">
        <v>269</v>
      </c>
      <c r="J85" s="18">
        <v>3476747</v>
      </c>
      <c r="K85" s="18" t="s">
        <v>25</v>
      </c>
      <c r="L85" s="19">
        <v>43475</v>
      </c>
      <c r="M85" s="51" t="s">
        <v>15</v>
      </c>
      <c r="N85" s="51"/>
      <c r="O85" s="48" t="s">
        <v>27</v>
      </c>
    </row>
    <row r="86" spans="1:18" customFormat="1">
      <c r="A86" s="53"/>
      <c r="B86" s="15" t="s">
        <v>270</v>
      </c>
      <c r="C86" s="16">
        <v>3</v>
      </c>
      <c r="D86" s="16" t="s">
        <v>271</v>
      </c>
      <c r="E86" s="16" t="s">
        <v>272</v>
      </c>
      <c r="F86" s="18" t="s">
        <v>15</v>
      </c>
      <c r="G86" s="18" t="s">
        <v>273</v>
      </c>
      <c r="H86" s="18"/>
      <c r="I86" s="18" t="s">
        <v>15</v>
      </c>
      <c r="J86" s="18" t="s">
        <v>15</v>
      </c>
      <c r="K86" s="18"/>
      <c r="L86" s="19">
        <v>44530</v>
      </c>
      <c r="M86" s="51" t="s">
        <v>15</v>
      </c>
      <c r="N86" s="51"/>
      <c r="O86" s="48" t="s">
        <v>17</v>
      </c>
    </row>
    <row r="87" spans="1:18" customFormat="1">
      <c r="A87" s="1"/>
      <c r="B87" s="27" t="s">
        <v>270</v>
      </c>
      <c r="C87" s="27">
        <v>1</v>
      </c>
      <c r="D87" s="27" t="s">
        <v>271</v>
      </c>
      <c r="E87" s="27" t="s">
        <v>274</v>
      </c>
      <c r="F87" s="26">
        <v>107432657</v>
      </c>
      <c r="G87" s="26" t="s">
        <v>273</v>
      </c>
      <c r="H87" s="26" t="s">
        <v>275</v>
      </c>
      <c r="I87" s="26" t="s">
        <v>276</v>
      </c>
      <c r="J87" s="26" t="s">
        <v>35</v>
      </c>
      <c r="K87" s="26" t="s">
        <v>25</v>
      </c>
      <c r="L87" s="33">
        <v>44530</v>
      </c>
      <c r="M87" s="35" t="s">
        <v>102</v>
      </c>
      <c r="N87" s="35"/>
      <c r="O87" s="30" t="s">
        <v>27</v>
      </c>
    </row>
    <row r="88" spans="1:18" customFormat="1">
      <c r="A88" s="1"/>
      <c r="B88" s="27" t="s">
        <v>270</v>
      </c>
      <c r="C88" s="27">
        <v>1</v>
      </c>
      <c r="D88" s="27" t="s">
        <v>271</v>
      </c>
      <c r="E88" s="27" t="s">
        <v>274</v>
      </c>
      <c r="F88" s="31" t="s">
        <v>277</v>
      </c>
      <c r="G88" s="26" t="s">
        <v>273</v>
      </c>
      <c r="H88" s="26" t="s">
        <v>278</v>
      </c>
      <c r="I88" s="26" t="s">
        <v>279</v>
      </c>
      <c r="J88" s="26" t="s">
        <v>35</v>
      </c>
      <c r="K88" s="26" t="s">
        <v>25</v>
      </c>
      <c r="L88" s="33">
        <v>44530</v>
      </c>
      <c r="M88" s="35" t="s">
        <v>280</v>
      </c>
      <c r="N88" s="35"/>
      <c r="O88" s="30" t="s">
        <v>27</v>
      </c>
    </row>
    <row r="89" spans="1:18" customFormat="1">
      <c r="A89" s="1"/>
      <c r="B89" s="27" t="s">
        <v>270</v>
      </c>
      <c r="C89" s="27">
        <v>1</v>
      </c>
      <c r="D89" s="27" t="s">
        <v>271</v>
      </c>
      <c r="E89" s="27" t="s">
        <v>274</v>
      </c>
      <c r="F89" s="31" t="s">
        <v>281</v>
      </c>
      <c r="G89" s="26" t="s">
        <v>273</v>
      </c>
      <c r="H89" s="26" t="s">
        <v>282</v>
      </c>
      <c r="I89" s="26" t="s">
        <v>283</v>
      </c>
      <c r="J89" s="26" t="s">
        <v>35</v>
      </c>
      <c r="K89" s="26" t="s">
        <v>25</v>
      </c>
      <c r="L89" s="33">
        <v>44530</v>
      </c>
      <c r="M89" s="35" t="s">
        <v>90</v>
      </c>
      <c r="N89" s="35"/>
      <c r="O89" s="30" t="s">
        <v>27</v>
      </c>
    </row>
    <row r="90" spans="1:18" customFormat="1">
      <c r="A90" s="53"/>
      <c r="B90" s="15" t="s">
        <v>284</v>
      </c>
      <c r="C90" s="16">
        <v>5</v>
      </c>
      <c r="D90" s="16" t="s">
        <v>285</v>
      </c>
      <c r="E90" s="16" t="s">
        <v>286</v>
      </c>
      <c r="F90" s="46" t="s">
        <v>15</v>
      </c>
      <c r="G90" s="46" t="s">
        <v>15</v>
      </c>
      <c r="H90" s="46" t="s">
        <v>14</v>
      </c>
      <c r="I90" s="18" t="s">
        <v>15</v>
      </c>
      <c r="J90" s="18"/>
      <c r="K90" s="18"/>
      <c r="L90" s="19" t="s">
        <v>14</v>
      </c>
      <c r="M90" s="74" t="s">
        <v>15</v>
      </c>
      <c r="N90" s="74"/>
      <c r="O90" s="46" t="s">
        <v>17</v>
      </c>
    </row>
    <row r="91" spans="1:18" customFormat="1">
      <c r="A91" s="16"/>
      <c r="B91" s="15" t="s">
        <v>287</v>
      </c>
      <c r="C91" s="16">
        <v>2</v>
      </c>
      <c r="D91" s="16" t="s">
        <v>288</v>
      </c>
      <c r="E91" s="16" t="s">
        <v>289</v>
      </c>
      <c r="F91" s="18" t="s">
        <v>15</v>
      </c>
      <c r="G91" s="18" t="s">
        <v>290</v>
      </c>
      <c r="H91" s="18" t="s">
        <v>14</v>
      </c>
      <c r="I91" s="18" t="s">
        <v>15</v>
      </c>
      <c r="J91" s="18" t="s">
        <v>15</v>
      </c>
      <c r="K91" s="18"/>
      <c r="L91" s="19">
        <v>44634</v>
      </c>
      <c r="M91" s="51" t="s">
        <v>15</v>
      </c>
      <c r="N91" s="51"/>
      <c r="O91" s="48" t="s">
        <v>17</v>
      </c>
    </row>
    <row r="92" spans="1:18" customFormat="1">
      <c r="A92" s="16"/>
      <c r="B92" s="75" t="s">
        <v>291</v>
      </c>
      <c r="C92" s="16">
        <v>4</v>
      </c>
      <c r="D92" s="16" t="s">
        <v>292</v>
      </c>
      <c r="E92" s="16">
        <v>161572</v>
      </c>
      <c r="F92" s="18" t="s">
        <v>35</v>
      </c>
      <c r="G92" s="18" t="s">
        <v>293</v>
      </c>
      <c r="H92" s="18" t="s">
        <v>14</v>
      </c>
      <c r="I92" s="18" t="s">
        <v>15</v>
      </c>
      <c r="J92" s="18" t="s">
        <v>15</v>
      </c>
      <c r="K92" s="18" t="s">
        <v>38</v>
      </c>
      <c r="L92" s="19">
        <v>44672</v>
      </c>
      <c r="M92" s="51" t="s">
        <v>15</v>
      </c>
      <c r="N92" s="51"/>
      <c r="O92" s="48" t="s">
        <v>17</v>
      </c>
    </row>
    <row r="93" spans="1:18" customFormat="1">
      <c r="A93" s="73">
        <v>28</v>
      </c>
      <c r="B93" s="15" t="s">
        <v>294</v>
      </c>
      <c r="C93" s="16">
        <v>5</v>
      </c>
      <c r="D93" s="18" t="s">
        <v>15</v>
      </c>
      <c r="E93" s="18" t="s">
        <v>15</v>
      </c>
      <c r="F93" s="18" t="s">
        <v>15</v>
      </c>
      <c r="G93" s="48" t="s">
        <v>15</v>
      </c>
      <c r="H93" s="18"/>
      <c r="I93" s="18" t="s">
        <v>15</v>
      </c>
      <c r="J93" s="48" t="s">
        <v>15</v>
      </c>
      <c r="K93" s="48"/>
      <c r="L93" s="48">
        <v>43475</v>
      </c>
      <c r="M93" s="51" t="s">
        <v>15</v>
      </c>
      <c r="N93" s="51"/>
      <c r="O93" s="48" t="s">
        <v>17</v>
      </c>
    </row>
    <row r="94" spans="1:18" customFormat="1">
      <c r="A94" s="27"/>
      <c r="B94" s="27" t="s">
        <v>295</v>
      </c>
      <c r="C94" s="27">
        <v>1</v>
      </c>
      <c r="D94" s="27" t="s">
        <v>131</v>
      </c>
      <c r="E94" s="27" t="s">
        <v>296</v>
      </c>
      <c r="F94" s="26" t="s">
        <v>297</v>
      </c>
      <c r="G94" s="26" t="s">
        <v>298</v>
      </c>
      <c r="H94" s="26" t="s">
        <v>299</v>
      </c>
      <c r="I94" s="52" t="s">
        <v>300</v>
      </c>
      <c r="J94" s="26">
        <v>3488111</v>
      </c>
      <c r="K94" s="26" t="s">
        <v>25</v>
      </c>
      <c r="L94" s="33">
        <v>44203</v>
      </c>
      <c r="M94" s="35" t="s">
        <v>78</v>
      </c>
      <c r="N94" s="35"/>
      <c r="O94" s="30" t="s">
        <v>27</v>
      </c>
    </row>
    <row r="95" spans="1:18">
      <c r="A95" s="27"/>
      <c r="B95" s="27" t="s">
        <v>295</v>
      </c>
      <c r="C95" s="27">
        <v>1</v>
      </c>
      <c r="D95" s="27" t="s">
        <v>131</v>
      </c>
      <c r="E95" s="27" t="s">
        <v>296</v>
      </c>
      <c r="F95" s="26" t="s">
        <v>301</v>
      </c>
      <c r="G95" s="26" t="s">
        <v>302</v>
      </c>
      <c r="H95" s="36" t="s">
        <v>303</v>
      </c>
      <c r="I95" s="18" t="s">
        <v>304</v>
      </c>
      <c r="J95" s="26" t="s">
        <v>35</v>
      </c>
      <c r="K95" s="26" t="s">
        <v>25</v>
      </c>
      <c r="L95" s="33">
        <v>44613</v>
      </c>
      <c r="M95" s="35" t="s">
        <v>305</v>
      </c>
      <c r="N95" s="35"/>
      <c r="O95" s="30" t="s">
        <v>27</v>
      </c>
    </row>
    <row r="96" spans="1:18">
      <c r="A96" s="27"/>
      <c r="B96" s="27" t="s">
        <v>295</v>
      </c>
      <c r="C96" s="27">
        <v>1</v>
      </c>
      <c r="D96" s="27" t="s">
        <v>131</v>
      </c>
      <c r="E96" s="27" t="s">
        <v>296</v>
      </c>
      <c r="F96" s="26" t="s">
        <v>306</v>
      </c>
      <c r="G96" s="26" t="s">
        <v>302</v>
      </c>
      <c r="H96" s="36" t="s">
        <v>307</v>
      </c>
      <c r="I96" s="18" t="s">
        <v>308</v>
      </c>
      <c r="J96" s="26" t="s">
        <v>35</v>
      </c>
      <c r="K96" s="26" t="s">
        <v>25</v>
      </c>
      <c r="L96" s="33">
        <v>44613</v>
      </c>
      <c r="M96" s="35" t="s">
        <v>305</v>
      </c>
      <c r="N96" s="35"/>
      <c r="O96" s="30" t="s">
        <v>27</v>
      </c>
    </row>
    <row r="97" spans="1:18">
      <c r="A97" s="27"/>
      <c r="B97" s="27" t="s">
        <v>295</v>
      </c>
      <c r="C97" s="27">
        <v>1</v>
      </c>
      <c r="D97" s="27" t="s">
        <v>131</v>
      </c>
      <c r="E97" s="27" t="s">
        <v>296</v>
      </c>
      <c r="F97" s="26" t="s">
        <v>309</v>
      </c>
      <c r="G97" s="26" t="s">
        <v>298</v>
      </c>
      <c r="H97" s="26" t="s">
        <v>310</v>
      </c>
      <c r="I97" s="52" t="s">
        <v>311</v>
      </c>
      <c r="J97" s="26" t="s">
        <v>35</v>
      </c>
      <c r="K97" s="26" t="s">
        <v>25</v>
      </c>
      <c r="L97" s="33">
        <v>44203</v>
      </c>
      <c r="M97" s="35" t="s">
        <v>78</v>
      </c>
      <c r="N97" s="35"/>
      <c r="O97" s="30" t="s">
        <v>27</v>
      </c>
    </row>
    <row r="98" spans="1:18">
      <c r="A98" s="27"/>
      <c r="B98" s="27" t="s">
        <v>295</v>
      </c>
      <c r="C98" s="27">
        <v>1</v>
      </c>
      <c r="D98" s="27" t="s">
        <v>131</v>
      </c>
      <c r="E98" s="27" t="s">
        <v>296</v>
      </c>
      <c r="F98" s="26" t="s">
        <v>312</v>
      </c>
      <c r="G98" s="26" t="s">
        <v>302</v>
      </c>
      <c r="H98" s="36" t="s">
        <v>313</v>
      </c>
      <c r="I98" s="18" t="s">
        <v>314</v>
      </c>
      <c r="J98" s="26" t="s">
        <v>35</v>
      </c>
      <c r="K98" s="26" t="s">
        <v>25</v>
      </c>
      <c r="L98" s="33">
        <v>44613</v>
      </c>
      <c r="M98" s="35" t="s">
        <v>78</v>
      </c>
      <c r="N98" s="35"/>
      <c r="O98" s="30" t="s">
        <v>27</v>
      </c>
    </row>
    <row r="99" spans="1:18">
      <c r="A99" s="16"/>
      <c r="B99" s="15" t="s">
        <v>315</v>
      </c>
      <c r="C99" s="16">
        <v>2</v>
      </c>
      <c r="D99" s="16" t="s">
        <v>131</v>
      </c>
      <c r="E99" s="16" t="s">
        <v>316</v>
      </c>
      <c r="F99" s="18" t="s">
        <v>15</v>
      </c>
      <c r="G99" s="18" t="s">
        <v>15</v>
      </c>
      <c r="H99" s="18" t="s">
        <v>14</v>
      </c>
      <c r="I99" s="18" t="s">
        <v>15</v>
      </c>
      <c r="J99" s="18" t="s">
        <v>15</v>
      </c>
      <c r="K99" s="18"/>
      <c r="L99" s="19" t="s">
        <v>14</v>
      </c>
      <c r="M99" s="48" t="s">
        <v>15</v>
      </c>
      <c r="N99" s="48"/>
      <c r="O99" s="48" t="s">
        <v>17</v>
      </c>
    </row>
    <row r="100" spans="1:18">
      <c r="A100" s="27"/>
      <c r="B100" s="27" t="s">
        <v>315</v>
      </c>
      <c r="C100" s="27">
        <v>1</v>
      </c>
      <c r="D100" s="27" t="s">
        <v>131</v>
      </c>
      <c r="E100" s="27" t="s">
        <v>316</v>
      </c>
      <c r="F100" s="26" t="s">
        <v>317</v>
      </c>
      <c r="G100" s="26" t="s">
        <v>318</v>
      </c>
      <c r="H100" s="26" t="s">
        <v>319</v>
      </c>
      <c r="I100" s="52" t="s">
        <v>320</v>
      </c>
      <c r="J100" s="26">
        <v>3488117</v>
      </c>
      <c r="K100" s="26" t="s">
        <v>25</v>
      </c>
      <c r="L100" s="33">
        <v>44203</v>
      </c>
      <c r="M100" s="30" t="s">
        <v>321</v>
      </c>
      <c r="N100" s="30"/>
      <c r="O100" s="30" t="s">
        <v>27</v>
      </c>
      <c r="Q100" s="6"/>
    </row>
    <row r="101" spans="1:18">
      <c r="A101" s="27"/>
      <c r="B101" s="27" t="s">
        <v>315</v>
      </c>
      <c r="C101" s="27">
        <v>1</v>
      </c>
      <c r="D101" s="27" t="s">
        <v>131</v>
      </c>
      <c r="E101" s="27" t="s">
        <v>316</v>
      </c>
      <c r="F101" s="26" t="s">
        <v>322</v>
      </c>
      <c r="G101" s="26" t="s">
        <v>323</v>
      </c>
      <c r="H101" s="36" t="s">
        <v>307</v>
      </c>
      <c r="I101" s="18" t="s">
        <v>324</v>
      </c>
      <c r="J101" s="26">
        <v>3573200</v>
      </c>
      <c r="K101" s="26" t="s">
        <v>25</v>
      </c>
      <c r="L101" s="33">
        <v>44613</v>
      </c>
      <c r="M101" s="30" t="s">
        <v>325</v>
      </c>
      <c r="N101" s="30"/>
      <c r="O101" s="30" t="s">
        <v>27</v>
      </c>
    </row>
    <row r="103" spans="1:18">
      <c r="A103" s="27"/>
      <c r="B103" s="27" t="s">
        <v>326</v>
      </c>
      <c r="C103" s="27">
        <v>1</v>
      </c>
      <c r="D103" s="27" t="s">
        <v>327</v>
      </c>
      <c r="E103" s="27" t="s">
        <v>328</v>
      </c>
      <c r="F103" s="26" t="s">
        <v>329</v>
      </c>
      <c r="G103" s="26" t="s">
        <v>330</v>
      </c>
      <c r="H103" s="76" t="s">
        <v>331</v>
      </c>
      <c r="I103" s="3" t="s">
        <v>332</v>
      </c>
      <c r="J103" s="3" t="s">
        <v>35</v>
      </c>
      <c r="K103" s="26" t="s">
        <v>38</v>
      </c>
      <c r="L103" s="33">
        <v>43986</v>
      </c>
      <c r="M103" s="30" t="s">
        <v>117</v>
      </c>
      <c r="N103" s="30"/>
      <c r="O103" s="30" t="s">
        <v>27</v>
      </c>
    </row>
    <row r="104" spans="1:18">
      <c r="A104" s="77"/>
      <c r="B104" s="15" t="s">
        <v>333</v>
      </c>
      <c r="C104" s="16">
        <v>5</v>
      </c>
      <c r="D104" s="16" t="s">
        <v>334</v>
      </c>
      <c r="E104" s="16" t="s">
        <v>335</v>
      </c>
      <c r="F104" s="18" t="s">
        <v>15</v>
      </c>
      <c r="G104" s="18" t="s">
        <v>336</v>
      </c>
      <c r="H104" s="18" t="s">
        <v>14</v>
      </c>
      <c r="I104" s="18" t="s">
        <v>15</v>
      </c>
      <c r="J104" s="18"/>
      <c r="K104" s="18"/>
      <c r="L104" s="19">
        <v>44884</v>
      </c>
      <c r="M104" s="48" t="s">
        <v>14</v>
      </c>
      <c r="N104" s="48"/>
      <c r="O104" s="48" t="s">
        <v>17</v>
      </c>
    </row>
    <row r="105" spans="1:18">
      <c r="A105" s="78"/>
      <c r="B105" s="27" t="s">
        <v>31</v>
      </c>
      <c r="C105" s="27">
        <v>1</v>
      </c>
      <c r="D105" s="27" t="s">
        <v>32</v>
      </c>
      <c r="E105" s="27" t="s">
        <v>33</v>
      </c>
      <c r="F105" s="26" t="s">
        <v>337</v>
      </c>
      <c r="G105" s="26" t="s">
        <v>35</v>
      </c>
      <c r="H105" s="3" t="s">
        <v>338</v>
      </c>
      <c r="I105" s="3" t="s">
        <v>339</v>
      </c>
      <c r="J105" s="3">
        <v>3476780</v>
      </c>
      <c r="K105" s="26" t="s">
        <v>38</v>
      </c>
      <c r="L105" s="33">
        <v>43475</v>
      </c>
      <c r="M105" s="30" t="s">
        <v>39</v>
      </c>
      <c r="N105" s="30"/>
      <c r="O105" s="30" t="s">
        <v>27</v>
      </c>
      <c r="R105" s="1"/>
    </row>
    <row r="106" spans="1:18">
      <c r="A106" s="77"/>
      <c r="B106" s="15" t="s">
        <v>340</v>
      </c>
      <c r="C106" s="16">
        <v>2</v>
      </c>
      <c r="D106" s="16" t="s">
        <v>341</v>
      </c>
      <c r="E106" s="16" t="s">
        <v>342</v>
      </c>
      <c r="F106" s="18" t="s">
        <v>35</v>
      </c>
      <c r="G106" s="18" t="s">
        <v>343</v>
      </c>
      <c r="H106" s="17" t="s">
        <v>14</v>
      </c>
      <c r="I106" s="18" t="s">
        <v>344</v>
      </c>
      <c r="J106" s="18"/>
      <c r="K106" s="18" t="s">
        <v>25</v>
      </c>
      <c r="L106" s="19">
        <v>45002</v>
      </c>
      <c r="M106" s="48" t="s">
        <v>102</v>
      </c>
      <c r="N106" s="48"/>
      <c r="O106" s="48" t="s">
        <v>27</v>
      </c>
    </row>
    <row r="107" spans="1:18">
      <c r="A107" s="77"/>
      <c r="B107" s="79" t="s">
        <v>340</v>
      </c>
      <c r="C107" s="27">
        <v>1</v>
      </c>
      <c r="D107" s="27" t="s">
        <v>341</v>
      </c>
      <c r="E107" s="27" t="s">
        <v>342</v>
      </c>
      <c r="F107" s="26" t="s">
        <v>35</v>
      </c>
      <c r="G107" s="26" t="s">
        <v>343</v>
      </c>
      <c r="H107" s="80" t="s">
        <v>345</v>
      </c>
      <c r="I107" s="55" t="s">
        <v>344</v>
      </c>
      <c r="J107" s="55"/>
      <c r="K107" s="26" t="s">
        <v>25</v>
      </c>
      <c r="L107" s="33">
        <v>45002</v>
      </c>
      <c r="M107" s="30" t="s">
        <v>102</v>
      </c>
      <c r="N107" s="30"/>
      <c r="O107" s="30" t="s">
        <v>27</v>
      </c>
      <c r="R107" s="1"/>
    </row>
    <row r="108" spans="1:18">
      <c r="A108" s="16"/>
      <c r="B108" s="79" t="s">
        <v>340</v>
      </c>
      <c r="C108" s="27">
        <v>1</v>
      </c>
      <c r="D108" s="27" t="s">
        <v>341</v>
      </c>
      <c r="E108" s="27" t="s">
        <v>342</v>
      </c>
      <c r="F108" s="26" t="s">
        <v>35</v>
      </c>
      <c r="G108" s="26" t="s">
        <v>343</v>
      </c>
      <c r="H108" s="80" t="s">
        <v>346</v>
      </c>
      <c r="I108" s="55" t="s">
        <v>344</v>
      </c>
      <c r="J108" s="55"/>
      <c r="K108" s="26" t="s">
        <v>25</v>
      </c>
      <c r="L108" s="33">
        <v>45002</v>
      </c>
      <c r="M108" s="30" t="s">
        <v>102</v>
      </c>
      <c r="N108" s="30"/>
      <c r="O108" s="30" t="s">
        <v>27</v>
      </c>
      <c r="R108" s="1"/>
    </row>
    <row r="109" spans="1:18">
      <c r="A109" s="16">
        <v>6</v>
      </c>
      <c r="B109" s="15" t="s">
        <v>347</v>
      </c>
      <c r="C109" s="16">
        <v>2</v>
      </c>
      <c r="D109" s="16" t="s">
        <v>35</v>
      </c>
      <c r="E109" s="16" t="s">
        <v>35</v>
      </c>
      <c r="F109" s="18" t="s">
        <v>15</v>
      </c>
      <c r="G109" s="18" t="s">
        <v>15</v>
      </c>
      <c r="H109" s="18"/>
      <c r="I109" s="18" t="s">
        <v>15</v>
      </c>
      <c r="J109" s="18" t="s">
        <v>15</v>
      </c>
      <c r="K109" s="18"/>
      <c r="L109" s="19">
        <v>43475</v>
      </c>
      <c r="M109" s="48" t="s">
        <v>102</v>
      </c>
      <c r="N109" s="48"/>
      <c r="O109" s="48" t="s">
        <v>17</v>
      </c>
      <c r="Q109" s="81"/>
      <c r="R109" s="1"/>
    </row>
    <row r="110" spans="1:18">
      <c r="A110" s="72"/>
      <c r="B110" s="15" t="s">
        <v>348</v>
      </c>
      <c r="C110" s="16">
        <v>4</v>
      </c>
      <c r="D110" s="16" t="s">
        <v>349</v>
      </c>
      <c r="E110" s="16" t="s">
        <v>350</v>
      </c>
      <c r="F110" s="18" t="s">
        <v>15</v>
      </c>
      <c r="G110" s="18" t="s">
        <v>351</v>
      </c>
      <c r="H110" s="18" t="s">
        <v>14</v>
      </c>
      <c r="I110" s="18" t="s">
        <v>35</v>
      </c>
      <c r="J110" s="18" t="s">
        <v>35</v>
      </c>
      <c r="K110" s="18"/>
      <c r="L110" s="19">
        <v>44670</v>
      </c>
      <c r="M110" s="48" t="s">
        <v>102</v>
      </c>
      <c r="N110" s="48"/>
      <c r="O110" s="48" t="s">
        <v>17</v>
      </c>
      <c r="R110" s="1"/>
    </row>
    <row r="111" spans="1:18" customFormat="1">
      <c r="A111" s="16"/>
      <c r="B111" s="15" t="s">
        <v>352</v>
      </c>
      <c r="C111" s="16">
        <v>14</v>
      </c>
      <c r="D111" s="16" t="s">
        <v>131</v>
      </c>
      <c r="E111" s="16" t="s">
        <v>353</v>
      </c>
      <c r="F111" s="18" t="s">
        <v>35</v>
      </c>
      <c r="G111" s="18" t="s">
        <v>14</v>
      </c>
      <c r="H111" s="18" t="s">
        <v>14</v>
      </c>
      <c r="I111" s="18" t="s">
        <v>14</v>
      </c>
      <c r="J111" s="18" t="s">
        <v>14</v>
      </c>
      <c r="K111" s="18" t="s">
        <v>38</v>
      </c>
      <c r="L111" s="18" t="s">
        <v>14</v>
      </c>
      <c r="M111" s="51" t="s">
        <v>102</v>
      </c>
      <c r="N111" s="51"/>
      <c r="O111" s="18" t="s">
        <v>27</v>
      </c>
      <c r="Q111" s="1"/>
      <c r="R111" s="1"/>
    </row>
    <row r="112" spans="1:18" customFormat="1">
      <c r="A112" s="16">
        <v>49</v>
      </c>
      <c r="B112" s="15" t="s">
        <v>354</v>
      </c>
      <c r="C112" s="16">
        <v>1</v>
      </c>
      <c r="D112" s="16" t="s">
        <v>355</v>
      </c>
      <c r="E112" s="16" t="s">
        <v>35</v>
      </c>
      <c r="F112" s="18" t="s">
        <v>35</v>
      </c>
      <c r="G112" s="18">
        <v>500207510396</v>
      </c>
      <c r="H112" s="18" t="s">
        <v>356</v>
      </c>
      <c r="I112" s="18" t="s">
        <v>357</v>
      </c>
      <c r="J112" s="18">
        <v>3476761</v>
      </c>
      <c r="K112" s="18" t="s">
        <v>25</v>
      </c>
      <c r="L112" s="19">
        <v>43475</v>
      </c>
      <c r="M112" s="51" t="s">
        <v>102</v>
      </c>
      <c r="N112" s="51"/>
      <c r="O112" s="48" t="s">
        <v>27</v>
      </c>
      <c r="Q112" s="1"/>
      <c r="R112" s="1"/>
    </row>
    <row r="113" spans="1:18" customFormat="1">
      <c r="A113" s="27"/>
      <c r="B113" s="27" t="s">
        <v>358</v>
      </c>
      <c r="C113" s="27">
        <v>1</v>
      </c>
      <c r="D113" s="27" t="s">
        <v>145</v>
      </c>
      <c r="E113" s="27">
        <v>445815</v>
      </c>
      <c r="F113" s="26" t="s">
        <v>359</v>
      </c>
      <c r="G113" s="26" t="s">
        <v>35</v>
      </c>
      <c r="H113" s="26" t="s">
        <v>360</v>
      </c>
      <c r="I113" s="52" t="s">
        <v>361</v>
      </c>
      <c r="J113" s="26" t="s">
        <v>35</v>
      </c>
      <c r="K113" s="26" t="s">
        <v>38</v>
      </c>
      <c r="L113" s="33">
        <v>43475</v>
      </c>
      <c r="M113" s="35" t="s">
        <v>117</v>
      </c>
      <c r="N113" s="35"/>
      <c r="O113" s="30" t="s">
        <v>27</v>
      </c>
      <c r="Q113" s="1"/>
      <c r="R113" s="1"/>
    </row>
    <row r="114" spans="1:18" customFormat="1">
      <c r="A114" s="27"/>
      <c r="B114" s="78" t="s">
        <v>358</v>
      </c>
      <c r="C114" s="78">
        <v>1</v>
      </c>
      <c r="D114" s="78" t="s">
        <v>145</v>
      </c>
      <c r="E114" s="78">
        <v>445815</v>
      </c>
      <c r="F114" s="3" t="s">
        <v>362</v>
      </c>
      <c r="G114" s="64" t="s">
        <v>35</v>
      </c>
      <c r="H114" s="26" t="s">
        <v>363</v>
      </c>
      <c r="I114" s="52" t="s">
        <v>364</v>
      </c>
      <c r="J114" s="64" t="s">
        <v>35</v>
      </c>
      <c r="K114" s="64" t="s">
        <v>38</v>
      </c>
      <c r="L114" s="82">
        <v>43475</v>
      </c>
      <c r="M114" s="83" t="s">
        <v>117</v>
      </c>
      <c r="N114" s="83"/>
      <c r="O114" s="30" t="s">
        <v>27</v>
      </c>
      <c r="Q114" s="1"/>
      <c r="R114" s="1"/>
    </row>
    <row r="115" spans="1:18" customFormat="1">
      <c r="A115" s="27"/>
      <c r="B115" s="27" t="s">
        <v>31</v>
      </c>
      <c r="C115" s="27">
        <v>1</v>
      </c>
      <c r="D115" s="27" t="s">
        <v>32</v>
      </c>
      <c r="E115" s="27" t="s">
        <v>33</v>
      </c>
      <c r="F115" s="26" t="s">
        <v>365</v>
      </c>
      <c r="G115" s="26" t="s">
        <v>35</v>
      </c>
      <c r="H115" s="26" t="s">
        <v>366</v>
      </c>
      <c r="I115" s="26" t="s">
        <v>367</v>
      </c>
      <c r="J115" s="26">
        <v>3476781</v>
      </c>
      <c r="K115" s="26" t="s">
        <v>38</v>
      </c>
      <c r="L115" s="33">
        <v>43475</v>
      </c>
      <c r="M115" s="35" t="s">
        <v>39</v>
      </c>
      <c r="N115" s="35"/>
      <c r="O115" s="30" t="s">
        <v>27</v>
      </c>
      <c r="Q115" s="1"/>
      <c r="R115" s="1"/>
    </row>
    <row r="116" spans="1:18" customFormat="1">
      <c r="A116" s="1"/>
      <c r="B116" s="27" t="s">
        <v>31</v>
      </c>
      <c r="C116" s="27">
        <v>1</v>
      </c>
      <c r="D116" s="27" t="s">
        <v>32</v>
      </c>
      <c r="E116" s="27" t="s">
        <v>33</v>
      </c>
      <c r="F116" s="26" t="s">
        <v>368</v>
      </c>
      <c r="G116" s="26" t="s">
        <v>35</v>
      </c>
      <c r="H116" s="26" t="s">
        <v>369</v>
      </c>
      <c r="I116" s="26" t="s">
        <v>370</v>
      </c>
      <c r="J116" s="26">
        <v>3476782</v>
      </c>
      <c r="K116" s="26" t="s">
        <v>38</v>
      </c>
      <c r="L116" s="33">
        <v>43475</v>
      </c>
      <c r="M116" s="35" t="s">
        <v>39</v>
      </c>
      <c r="N116" s="35"/>
      <c r="O116" s="30" t="s">
        <v>27</v>
      </c>
      <c r="Q116" s="1"/>
      <c r="R116" s="1"/>
    </row>
    <row r="117" spans="1:18" customFormat="1">
      <c r="A117" s="1"/>
      <c r="B117" s="27" t="s">
        <v>31</v>
      </c>
      <c r="C117" s="27">
        <v>1</v>
      </c>
      <c r="D117" s="27" t="s">
        <v>32</v>
      </c>
      <c r="E117" s="27" t="s">
        <v>33</v>
      </c>
      <c r="F117" s="26" t="s">
        <v>371</v>
      </c>
      <c r="G117" s="26" t="s">
        <v>35</v>
      </c>
      <c r="H117" s="26" t="s">
        <v>372</v>
      </c>
      <c r="I117" s="26" t="s">
        <v>373</v>
      </c>
      <c r="J117" s="26">
        <v>3476783</v>
      </c>
      <c r="K117" s="26" t="s">
        <v>38</v>
      </c>
      <c r="L117" s="33">
        <v>43475</v>
      </c>
      <c r="M117" s="35" t="s">
        <v>262</v>
      </c>
      <c r="N117" s="35"/>
      <c r="O117" s="30" t="s">
        <v>27</v>
      </c>
      <c r="Q117" s="1"/>
      <c r="R117" s="1"/>
    </row>
    <row r="118" spans="1:18" customFormat="1">
      <c r="A118" s="1"/>
      <c r="B118" s="27" t="s">
        <v>31</v>
      </c>
      <c r="C118" s="27">
        <v>1</v>
      </c>
      <c r="D118" s="27" t="s">
        <v>32</v>
      </c>
      <c r="E118" s="27" t="s">
        <v>33</v>
      </c>
      <c r="F118" s="26" t="s">
        <v>374</v>
      </c>
      <c r="G118" s="26" t="s">
        <v>35</v>
      </c>
      <c r="H118" s="26" t="s">
        <v>375</v>
      </c>
      <c r="I118" s="26" t="s">
        <v>376</v>
      </c>
      <c r="J118" s="26">
        <v>3476784</v>
      </c>
      <c r="K118" s="26" t="s">
        <v>38</v>
      </c>
      <c r="L118" s="33">
        <v>43475</v>
      </c>
      <c r="M118" s="35" t="s">
        <v>39</v>
      </c>
      <c r="N118" s="35"/>
      <c r="O118" s="30" t="s">
        <v>27</v>
      </c>
      <c r="Q118" s="1"/>
      <c r="R118" s="1"/>
    </row>
    <row r="119" spans="1:18" customFormat="1">
      <c r="A119" s="1"/>
      <c r="B119" s="27" t="s">
        <v>31</v>
      </c>
      <c r="C119" s="27">
        <v>1</v>
      </c>
      <c r="D119" s="27" t="s">
        <v>32</v>
      </c>
      <c r="E119" s="27" t="s">
        <v>33</v>
      </c>
      <c r="F119" s="26" t="s">
        <v>377</v>
      </c>
      <c r="G119" s="26" t="s">
        <v>35</v>
      </c>
      <c r="H119" s="26" t="s">
        <v>378</v>
      </c>
      <c r="I119" s="26" t="s">
        <v>379</v>
      </c>
      <c r="J119" s="26">
        <v>3476785</v>
      </c>
      <c r="K119" s="26" t="s">
        <v>38</v>
      </c>
      <c r="L119" s="33">
        <v>43475</v>
      </c>
      <c r="M119" s="35" t="s">
        <v>39</v>
      </c>
      <c r="N119" s="35"/>
      <c r="O119" s="30" t="s">
        <v>27</v>
      </c>
      <c r="Q119" s="1"/>
      <c r="R119" s="1"/>
    </row>
    <row r="120" spans="1:18" customFormat="1">
      <c r="A120" s="53">
        <v>38</v>
      </c>
      <c r="B120" s="58" t="s">
        <v>380</v>
      </c>
      <c r="C120" s="59">
        <v>19</v>
      </c>
      <c r="D120" s="59" t="s">
        <v>35</v>
      </c>
      <c r="E120" s="59" t="s">
        <v>35</v>
      </c>
      <c r="F120" s="60" t="s">
        <v>35</v>
      </c>
      <c r="G120" s="60" t="s">
        <v>35</v>
      </c>
      <c r="H120" s="60" t="s">
        <v>381</v>
      </c>
      <c r="I120" s="60" t="s">
        <v>35</v>
      </c>
      <c r="J120" s="60" t="s">
        <v>35</v>
      </c>
      <c r="K120" s="60" t="s">
        <v>25</v>
      </c>
      <c r="L120" s="61">
        <v>43475</v>
      </c>
      <c r="M120" s="62" t="s">
        <v>102</v>
      </c>
      <c r="N120" s="62"/>
      <c r="O120" s="59">
        <v>16</v>
      </c>
      <c r="Q120" s="1"/>
      <c r="R120" s="1"/>
    </row>
    <row r="121" spans="1:18" customFormat="1">
      <c r="A121" s="27"/>
      <c r="B121" s="27" t="s">
        <v>382</v>
      </c>
      <c r="C121" s="27">
        <v>1</v>
      </c>
      <c r="D121" s="27" t="s">
        <v>288</v>
      </c>
      <c r="E121" s="27" t="s">
        <v>289</v>
      </c>
      <c r="F121" s="26" t="s">
        <v>35</v>
      </c>
      <c r="G121" s="26" t="s">
        <v>290</v>
      </c>
      <c r="H121" s="36" t="s">
        <v>383</v>
      </c>
      <c r="I121" s="18" t="s">
        <v>384</v>
      </c>
      <c r="J121" s="26" t="s">
        <v>35</v>
      </c>
      <c r="K121" s="26" t="s">
        <v>25</v>
      </c>
      <c r="L121" s="33">
        <v>44634</v>
      </c>
      <c r="M121" s="35" t="s">
        <v>26</v>
      </c>
      <c r="N121" s="35" t="s">
        <v>27</v>
      </c>
      <c r="O121" s="30" t="s">
        <v>27</v>
      </c>
      <c r="Q121" s="1"/>
      <c r="R121" s="1"/>
    </row>
    <row r="122" spans="1:18" customFormat="1">
      <c r="A122" s="1"/>
      <c r="B122" s="27" t="s">
        <v>382</v>
      </c>
      <c r="C122" s="27">
        <v>1</v>
      </c>
      <c r="D122" s="27" t="s">
        <v>288</v>
      </c>
      <c r="E122" s="27" t="s">
        <v>289</v>
      </c>
      <c r="F122" s="26" t="s">
        <v>35</v>
      </c>
      <c r="G122" s="26" t="s">
        <v>290</v>
      </c>
      <c r="H122" s="36" t="s">
        <v>385</v>
      </c>
      <c r="I122" s="18" t="s">
        <v>386</v>
      </c>
      <c r="J122" s="26" t="s">
        <v>35</v>
      </c>
      <c r="K122" s="26" t="s">
        <v>25</v>
      </c>
      <c r="L122" s="33">
        <v>44634</v>
      </c>
      <c r="M122" s="35" t="s">
        <v>26</v>
      </c>
      <c r="N122" s="35" t="s">
        <v>27</v>
      </c>
      <c r="O122" s="30" t="s">
        <v>27</v>
      </c>
      <c r="Q122" s="1"/>
      <c r="R122" s="1"/>
    </row>
    <row r="123" spans="1:18" customFormat="1">
      <c r="A123" s="53"/>
      <c r="B123" s="75" t="s">
        <v>387</v>
      </c>
      <c r="C123" s="16">
        <v>10</v>
      </c>
      <c r="D123" s="17" t="s">
        <v>388</v>
      </c>
      <c r="E123" s="16" t="s">
        <v>389</v>
      </c>
      <c r="F123" s="18" t="s">
        <v>15</v>
      </c>
      <c r="G123" s="18" t="s">
        <v>390</v>
      </c>
      <c r="H123" s="36" t="s">
        <v>391</v>
      </c>
      <c r="I123" s="18" t="s">
        <v>35</v>
      </c>
      <c r="J123" s="18" t="s">
        <v>35</v>
      </c>
      <c r="K123" s="18" t="s">
        <v>38</v>
      </c>
      <c r="L123" s="19">
        <v>44764</v>
      </c>
      <c r="M123" s="51" t="s">
        <v>102</v>
      </c>
      <c r="N123" s="51"/>
      <c r="O123" s="48" t="s">
        <v>27</v>
      </c>
      <c r="Q123" s="1"/>
      <c r="R123" s="1"/>
    </row>
    <row r="124" spans="1:18" customFormat="1">
      <c r="A124" s="1"/>
      <c r="B124" s="27" t="s">
        <v>291</v>
      </c>
      <c r="C124" s="27">
        <v>1</v>
      </c>
      <c r="D124" s="27" t="s">
        <v>292</v>
      </c>
      <c r="E124" s="27">
        <v>161572</v>
      </c>
      <c r="F124" s="26" t="s">
        <v>35</v>
      </c>
      <c r="G124" s="26" t="s">
        <v>293</v>
      </c>
      <c r="H124" s="36" t="s">
        <v>392</v>
      </c>
      <c r="I124" s="18" t="s">
        <v>393</v>
      </c>
      <c r="J124" s="26" t="s">
        <v>35</v>
      </c>
      <c r="K124" s="26" t="s">
        <v>38</v>
      </c>
      <c r="L124" s="33">
        <v>44672</v>
      </c>
      <c r="M124" s="35" t="s">
        <v>262</v>
      </c>
      <c r="N124" s="35"/>
      <c r="O124" s="30" t="s">
        <v>27</v>
      </c>
      <c r="Q124" s="1"/>
      <c r="R124" s="1"/>
    </row>
    <row r="125" spans="1:18" customFormat="1">
      <c r="A125" s="27"/>
      <c r="B125" s="27" t="s">
        <v>291</v>
      </c>
      <c r="C125" s="27">
        <v>1</v>
      </c>
      <c r="D125" s="27" t="s">
        <v>292</v>
      </c>
      <c r="E125" s="27">
        <v>161572</v>
      </c>
      <c r="F125" s="26" t="s">
        <v>35</v>
      </c>
      <c r="G125" s="26" t="s">
        <v>293</v>
      </c>
      <c r="H125" s="36" t="s">
        <v>394</v>
      </c>
      <c r="I125" s="18" t="s">
        <v>395</v>
      </c>
      <c r="J125" s="26" t="s">
        <v>35</v>
      </c>
      <c r="K125" s="26" t="s">
        <v>38</v>
      </c>
      <c r="L125" s="33">
        <v>44672</v>
      </c>
      <c r="M125" s="35" t="s">
        <v>117</v>
      </c>
      <c r="N125" s="35"/>
      <c r="O125" s="30" t="s">
        <v>27</v>
      </c>
      <c r="Q125" s="1"/>
      <c r="R125" s="6"/>
    </row>
    <row r="126" spans="1:18" customFormat="1">
      <c r="A126" s="27"/>
      <c r="B126" s="27" t="s">
        <v>291</v>
      </c>
      <c r="C126" s="27">
        <v>1</v>
      </c>
      <c r="D126" s="27" t="s">
        <v>292</v>
      </c>
      <c r="E126" s="27">
        <v>161572</v>
      </c>
      <c r="F126" s="26" t="s">
        <v>35</v>
      </c>
      <c r="G126" s="26" t="s">
        <v>293</v>
      </c>
      <c r="H126" s="36" t="s">
        <v>396</v>
      </c>
      <c r="I126" s="18" t="s">
        <v>397</v>
      </c>
      <c r="J126" s="26" t="s">
        <v>35</v>
      </c>
      <c r="K126" s="26" t="s">
        <v>38</v>
      </c>
      <c r="L126" s="33">
        <v>44672</v>
      </c>
      <c r="M126" s="35" t="s">
        <v>117</v>
      </c>
      <c r="N126" s="35"/>
      <c r="O126" s="30" t="s">
        <v>27</v>
      </c>
      <c r="Q126" s="1"/>
      <c r="R126" s="6"/>
    </row>
    <row r="127" spans="1:18" customFormat="1">
      <c r="A127" s="27"/>
      <c r="B127" s="27" t="s">
        <v>291</v>
      </c>
      <c r="C127" s="27">
        <v>1</v>
      </c>
      <c r="D127" s="27" t="s">
        <v>292</v>
      </c>
      <c r="E127" s="27">
        <v>161572</v>
      </c>
      <c r="F127" s="26" t="s">
        <v>35</v>
      </c>
      <c r="G127" s="26" t="s">
        <v>293</v>
      </c>
      <c r="H127" s="36" t="s">
        <v>398</v>
      </c>
      <c r="I127" s="18" t="s">
        <v>399</v>
      </c>
      <c r="J127" s="26" t="s">
        <v>35</v>
      </c>
      <c r="K127" s="26" t="s">
        <v>38</v>
      </c>
      <c r="L127" s="33">
        <v>44672</v>
      </c>
      <c r="M127" s="35" t="s">
        <v>400</v>
      </c>
      <c r="N127" s="35"/>
      <c r="O127" s="30" t="s">
        <v>27</v>
      </c>
      <c r="Q127" s="1"/>
      <c r="R127" s="6"/>
    </row>
    <row r="128" spans="1:18" customFormat="1">
      <c r="A128" s="16"/>
      <c r="B128" s="15" t="s">
        <v>401</v>
      </c>
      <c r="C128" s="16">
        <v>1</v>
      </c>
      <c r="D128" s="16" t="s">
        <v>402</v>
      </c>
      <c r="E128" s="16" t="s">
        <v>403</v>
      </c>
      <c r="F128" s="18" t="s">
        <v>404</v>
      </c>
      <c r="G128" s="18" t="s">
        <v>405</v>
      </c>
      <c r="H128" s="17" t="s">
        <v>406</v>
      </c>
      <c r="I128" s="18" t="s">
        <v>407</v>
      </c>
      <c r="J128" s="18"/>
      <c r="K128" s="18" t="s">
        <v>38</v>
      </c>
      <c r="L128" s="19">
        <v>44972</v>
      </c>
      <c r="M128" s="51" t="s">
        <v>102</v>
      </c>
      <c r="N128" s="51"/>
      <c r="O128" s="48" t="s">
        <v>27</v>
      </c>
      <c r="Q128" s="1"/>
      <c r="R128" s="6"/>
    </row>
    <row r="129" spans="1:18" customFormat="1">
      <c r="A129" s="16"/>
      <c r="B129" s="15" t="s">
        <v>408</v>
      </c>
      <c r="C129" s="16">
        <v>1</v>
      </c>
      <c r="D129" s="16" t="s">
        <v>409</v>
      </c>
      <c r="E129" s="16" t="s">
        <v>410</v>
      </c>
      <c r="F129" s="18" t="s">
        <v>411</v>
      </c>
      <c r="G129" s="18" t="s">
        <v>412</v>
      </c>
      <c r="H129" s="17" t="s">
        <v>413</v>
      </c>
      <c r="I129" s="18" t="s">
        <v>414</v>
      </c>
      <c r="J129" s="18"/>
      <c r="K129" s="18" t="s">
        <v>38</v>
      </c>
      <c r="L129" s="19">
        <v>44972</v>
      </c>
      <c r="M129" s="51" t="s">
        <v>102</v>
      </c>
      <c r="N129" s="51"/>
      <c r="O129" s="48" t="s">
        <v>27</v>
      </c>
      <c r="Q129" s="1"/>
      <c r="R129" s="1"/>
    </row>
    <row r="130" spans="1:18" customFormat="1">
      <c r="A130" s="16">
        <v>18</v>
      </c>
      <c r="B130" s="15" t="s">
        <v>415</v>
      </c>
      <c r="C130" s="16">
        <v>50</v>
      </c>
      <c r="D130" s="16" t="s">
        <v>35</v>
      </c>
      <c r="E130" s="16" t="s">
        <v>35</v>
      </c>
      <c r="F130" s="18" t="s">
        <v>15</v>
      </c>
      <c r="G130" s="18" t="s">
        <v>35</v>
      </c>
      <c r="H130" s="18" t="s">
        <v>416</v>
      </c>
      <c r="I130" s="18" t="s">
        <v>35</v>
      </c>
      <c r="J130" s="18" t="s">
        <v>35</v>
      </c>
      <c r="K130" s="18" t="s">
        <v>25</v>
      </c>
      <c r="L130" s="19">
        <v>43475</v>
      </c>
      <c r="M130" s="51" t="s">
        <v>102</v>
      </c>
      <c r="N130" s="51"/>
      <c r="O130" s="48" t="s">
        <v>27</v>
      </c>
      <c r="Q130" s="1"/>
      <c r="R130" s="1"/>
    </row>
    <row r="131" spans="1:18" customFormat="1">
      <c r="A131" s="16">
        <v>60</v>
      </c>
      <c r="B131" s="75" t="s">
        <v>417</v>
      </c>
      <c r="C131" s="16">
        <v>1</v>
      </c>
      <c r="D131" s="16" t="s">
        <v>418</v>
      </c>
      <c r="E131" s="84" t="s">
        <v>419</v>
      </c>
      <c r="F131" s="46" t="s">
        <v>420</v>
      </c>
      <c r="G131" s="18" t="s">
        <v>35</v>
      </c>
      <c r="H131" s="18" t="s">
        <v>421</v>
      </c>
      <c r="I131" s="18" t="s">
        <v>422</v>
      </c>
      <c r="J131" s="18" t="s">
        <v>35</v>
      </c>
      <c r="K131" s="18" t="s">
        <v>38</v>
      </c>
      <c r="L131" s="19">
        <v>43475</v>
      </c>
      <c r="M131" s="51" t="s">
        <v>423</v>
      </c>
      <c r="N131" s="51"/>
      <c r="O131" s="48" t="s">
        <v>27</v>
      </c>
      <c r="Q131" s="1"/>
      <c r="R131" s="1"/>
    </row>
    <row r="132" spans="1:18" customFormat="1">
      <c r="A132" s="27"/>
      <c r="B132" s="27" t="s">
        <v>348</v>
      </c>
      <c r="C132" s="27">
        <v>1</v>
      </c>
      <c r="D132" s="27" t="s">
        <v>349</v>
      </c>
      <c r="E132" s="27" t="s">
        <v>350</v>
      </c>
      <c r="F132" s="26"/>
      <c r="G132" s="26" t="s">
        <v>351</v>
      </c>
      <c r="H132" s="85" t="s">
        <v>424</v>
      </c>
      <c r="I132" s="55" t="s">
        <v>425</v>
      </c>
      <c r="J132" s="26" t="s">
        <v>35</v>
      </c>
      <c r="K132" s="26" t="s">
        <v>38</v>
      </c>
      <c r="L132" s="33">
        <v>44670</v>
      </c>
      <c r="M132" s="35" t="s">
        <v>102</v>
      </c>
      <c r="N132" s="35"/>
      <c r="O132" s="30" t="s">
        <v>27</v>
      </c>
      <c r="Q132" s="1"/>
      <c r="R132" s="1"/>
    </row>
    <row r="133" spans="1:18" customFormat="1">
      <c r="A133" s="1"/>
      <c r="B133" s="27" t="s">
        <v>348</v>
      </c>
      <c r="C133" s="27">
        <v>1</v>
      </c>
      <c r="D133" s="27" t="s">
        <v>349</v>
      </c>
      <c r="E133" s="27" t="s">
        <v>350</v>
      </c>
      <c r="F133" s="26"/>
      <c r="G133" s="26" t="s">
        <v>351</v>
      </c>
      <c r="H133" s="85" t="s">
        <v>426</v>
      </c>
      <c r="I133" s="55" t="s">
        <v>427</v>
      </c>
      <c r="J133" s="26" t="s">
        <v>35</v>
      </c>
      <c r="K133" s="26" t="s">
        <v>38</v>
      </c>
      <c r="L133" s="33">
        <v>44670</v>
      </c>
      <c r="M133" s="35" t="s">
        <v>428</v>
      </c>
      <c r="N133" s="35"/>
      <c r="O133" s="30" t="s">
        <v>27</v>
      </c>
      <c r="Q133" s="1"/>
      <c r="R133" s="1"/>
    </row>
    <row r="134" spans="1:18" customFormat="1">
      <c r="A134" s="1"/>
      <c r="B134" s="27" t="s">
        <v>348</v>
      </c>
      <c r="C134" s="27">
        <v>1</v>
      </c>
      <c r="D134" s="27" t="s">
        <v>349</v>
      </c>
      <c r="E134" s="27" t="s">
        <v>350</v>
      </c>
      <c r="F134" s="26"/>
      <c r="G134" s="26" t="s">
        <v>351</v>
      </c>
      <c r="H134" s="85" t="s">
        <v>429</v>
      </c>
      <c r="I134" s="55" t="s">
        <v>430</v>
      </c>
      <c r="J134" s="26" t="s">
        <v>35</v>
      </c>
      <c r="K134" s="26" t="s">
        <v>38</v>
      </c>
      <c r="L134" s="33">
        <v>44670</v>
      </c>
      <c r="M134" s="35" t="s">
        <v>428</v>
      </c>
      <c r="N134" s="35"/>
      <c r="O134" s="30" t="s">
        <v>27</v>
      </c>
      <c r="Q134" s="1"/>
      <c r="R134" s="1"/>
    </row>
    <row r="135" spans="1:18" customFormat="1">
      <c r="A135" s="27"/>
      <c r="B135" s="27" t="s">
        <v>348</v>
      </c>
      <c r="C135" s="27">
        <v>1</v>
      </c>
      <c r="D135" s="27" t="s">
        <v>349</v>
      </c>
      <c r="E135" s="27" t="s">
        <v>350</v>
      </c>
      <c r="F135" s="26"/>
      <c r="G135" s="26" t="s">
        <v>351</v>
      </c>
      <c r="H135" s="85" t="s">
        <v>431</v>
      </c>
      <c r="I135" s="55" t="s">
        <v>432</v>
      </c>
      <c r="J135" s="26" t="s">
        <v>35</v>
      </c>
      <c r="K135" s="26" t="s">
        <v>38</v>
      </c>
      <c r="L135" s="33">
        <v>44670</v>
      </c>
      <c r="M135" s="35" t="s">
        <v>433</v>
      </c>
      <c r="N135" s="35"/>
      <c r="O135" s="30" t="s">
        <v>27</v>
      </c>
      <c r="Q135" s="1"/>
      <c r="R135" s="1"/>
    </row>
    <row r="136" spans="1:18" customFormat="1">
      <c r="A136" s="16"/>
      <c r="B136" s="75" t="s">
        <v>434</v>
      </c>
      <c r="C136" s="16">
        <v>1</v>
      </c>
      <c r="D136" s="16" t="s">
        <v>252</v>
      </c>
      <c r="E136" s="16" t="s">
        <v>435</v>
      </c>
      <c r="F136" s="18">
        <v>6217202500006</v>
      </c>
      <c r="G136" s="18" t="s">
        <v>436</v>
      </c>
      <c r="H136" s="36" t="s">
        <v>437</v>
      </c>
      <c r="I136" s="18" t="s">
        <v>438</v>
      </c>
      <c r="J136" s="18" t="s">
        <v>15</v>
      </c>
      <c r="K136" s="18" t="s">
        <v>38</v>
      </c>
      <c r="L136" s="19">
        <v>44672</v>
      </c>
      <c r="M136" s="51" t="s">
        <v>439</v>
      </c>
      <c r="N136" s="51"/>
      <c r="O136" s="48" t="s">
        <v>27</v>
      </c>
      <c r="Q136" s="1"/>
      <c r="R136" s="1"/>
    </row>
    <row r="137" spans="1:18" customFormat="1" ht="30">
      <c r="A137" s="53"/>
      <c r="B137" s="15" t="s">
        <v>440</v>
      </c>
      <c r="C137" s="16">
        <v>1</v>
      </c>
      <c r="D137" s="16" t="s">
        <v>441</v>
      </c>
      <c r="E137" s="86" t="s">
        <v>442</v>
      </c>
      <c r="F137" s="18" t="s">
        <v>35</v>
      </c>
      <c r="G137" s="18" t="s">
        <v>443</v>
      </c>
      <c r="H137" s="17" t="s">
        <v>444</v>
      </c>
      <c r="I137" s="18"/>
      <c r="J137" s="18"/>
      <c r="K137" s="18" t="s">
        <v>38</v>
      </c>
      <c r="L137" s="19">
        <v>45048</v>
      </c>
      <c r="M137" s="51" t="s">
        <v>445</v>
      </c>
      <c r="N137" s="51"/>
      <c r="O137" s="48" t="s">
        <v>27</v>
      </c>
      <c r="Q137" s="1"/>
      <c r="R137" s="1"/>
    </row>
    <row r="138" spans="1:18" customFormat="1">
      <c r="A138" s="53"/>
      <c r="B138" s="15" t="s">
        <v>446</v>
      </c>
      <c r="C138" s="16">
        <v>8</v>
      </c>
      <c r="D138" s="16" t="s">
        <v>447</v>
      </c>
      <c r="E138" s="16" t="s">
        <v>448</v>
      </c>
      <c r="F138" s="18" t="s">
        <v>15</v>
      </c>
      <c r="G138" s="18" t="s">
        <v>449</v>
      </c>
      <c r="H138" s="18"/>
      <c r="I138" s="18"/>
      <c r="J138" s="18" t="s">
        <v>15</v>
      </c>
      <c r="K138" s="18"/>
      <c r="L138" s="19">
        <v>44501</v>
      </c>
      <c r="M138" s="51" t="s">
        <v>450</v>
      </c>
      <c r="N138" s="51"/>
      <c r="O138" s="48" t="s">
        <v>17</v>
      </c>
      <c r="Q138" s="1"/>
      <c r="R138" s="1"/>
    </row>
    <row r="139" spans="1:18" customFormat="1">
      <c r="A139" s="1"/>
      <c r="B139" s="27" t="s">
        <v>251</v>
      </c>
      <c r="C139" s="27">
        <v>1</v>
      </c>
      <c r="D139" s="27" t="s">
        <v>252</v>
      </c>
      <c r="E139" s="27" t="s">
        <v>253</v>
      </c>
      <c r="F139" s="26">
        <v>4621120190055</v>
      </c>
      <c r="G139" s="26" t="s">
        <v>254</v>
      </c>
      <c r="H139" s="26" t="s">
        <v>451</v>
      </c>
      <c r="I139" s="52" t="s">
        <v>452</v>
      </c>
      <c r="J139" s="26" t="s">
        <v>35</v>
      </c>
      <c r="K139" s="26" t="s">
        <v>151</v>
      </c>
      <c r="L139" s="33">
        <v>44226</v>
      </c>
      <c r="M139" s="35" t="s">
        <v>453</v>
      </c>
      <c r="N139" s="35"/>
      <c r="O139" s="30" t="s">
        <v>27</v>
      </c>
      <c r="Q139" s="1"/>
      <c r="R139" s="1"/>
    </row>
    <row r="140" spans="1:18" customFormat="1">
      <c r="A140" s="1"/>
      <c r="B140" s="27" t="s">
        <v>251</v>
      </c>
      <c r="C140" s="27">
        <v>1</v>
      </c>
      <c r="D140" s="27" t="s">
        <v>252</v>
      </c>
      <c r="E140" s="27" t="s">
        <v>253</v>
      </c>
      <c r="F140" s="26">
        <v>4621120190004</v>
      </c>
      <c r="G140" s="26" t="s">
        <v>254</v>
      </c>
      <c r="H140" s="26" t="s">
        <v>454</v>
      </c>
      <c r="I140" s="52" t="s">
        <v>455</v>
      </c>
      <c r="J140" s="26" t="s">
        <v>35</v>
      </c>
      <c r="K140" s="26" t="s">
        <v>151</v>
      </c>
      <c r="L140" s="33">
        <v>44226</v>
      </c>
      <c r="M140" s="35" t="s">
        <v>453</v>
      </c>
      <c r="N140" s="35"/>
      <c r="O140" s="30" t="s">
        <v>27</v>
      </c>
      <c r="Q140" s="1"/>
      <c r="R140" s="1"/>
    </row>
    <row r="141" spans="1:18" customFormat="1">
      <c r="A141" s="16"/>
      <c r="B141" s="15" t="s">
        <v>255</v>
      </c>
      <c r="C141" s="16">
        <v>2</v>
      </c>
      <c r="D141" s="16" t="s">
        <v>256</v>
      </c>
      <c r="E141" s="16" t="s">
        <v>257</v>
      </c>
      <c r="F141" s="18"/>
      <c r="G141" s="18" t="s">
        <v>259</v>
      </c>
      <c r="H141" s="18" t="s">
        <v>14</v>
      </c>
      <c r="I141" s="18" t="s">
        <v>15</v>
      </c>
      <c r="J141" s="18"/>
      <c r="K141" s="18" t="s">
        <v>38</v>
      </c>
      <c r="L141" s="19">
        <v>44816</v>
      </c>
      <c r="M141" s="51" t="s">
        <v>262</v>
      </c>
      <c r="N141" s="51"/>
      <c r="O141" s="48" t="s">
        <v>17</v>
      </c>
      <c r="Q141" s="1"/>
      <c r="R141" s="1"/>
    </row>
    <row r="142" spans="1:18" customFormat="1">
      <c r="A142" s="27"/>
      <c r="B142" s="27" t="s">
        <v>446</v>
      </c>
      <c r="C142" s="27">
        <v>1</v>
      </c>
      <c r="D142" s="27" t="s">
        <v>447</v>
      </c>
      <c r="E142" s="27" t="s">
        <v>448</v>
      </c>
      <c r="F142" s="26">
        <v>21141020272</v>
      </c>
      <c r="G142" s="26" t="s">
        <v>449</v>
      </c>
      <c r="H142" s="26" t="s">
        <v>456</v>
      </c>
      <c r="I142" s="26" t="s">
        <v>457</v>
      </c>
      <c r="J142" s="26">
        <v>3573182</v>
      </c>
      <c r="K142" s="26" t="s">
        <v>38</v>
      </c>
      <c r="L142" s="33">
        <v>44501</v>
      </c>
      <c r="M142" s="35" t="s">
        <v>458</v>
      </c>
      <c r="N142" s="35"/>
      <c r="O142" s="30" t="s">
        <v>27</v>
      </c>
      <c r="Q142" s="1"/>
      <c r="R142" s="1"/>
    </row>
    <row r="143" spans="1:18" customFormat="1">
      <c r="A143" s="27"/>
      <c r="B143" s="27" t="s">
        <v>446</v>
      </c>
      <c r="C143" s="27">
        <v>1</v>
      </c>
      <c r="D143" s="27" t="s">
        <v>447</v>
      </c>
      <c r="E143" s="27" t="s">
        <v>448</v>
      </c>
      <c r="F143" s="26">
        <v>21141020268</v>
      </c>
      <c r="G143" s="26" t="s">
        <v>449</v>
      </c>
      <c r="H143" s="26" t="s">
        <v>459</v>
      </c>
      <c r="I143" s="26" t="s">
        <v>460</v>
      </c>
      <c r="J143" s="26">
        <v>3573183</v>
      </c>
      <c r="K143" s="26" t="s">
        <v>38</v>
      </c>
      <c r="L143" s="33">
        <v>44501</v>
      </c>
      <c r="M143" s="35" t="s">
        <v>458</v>
      </c>
      <c r="N143" s="35"/>
      <c r="O143" s="30" t="s">
        <v>27</v>
      </c>
      <c r="Q143" s="1"/>
      <c r="R143" s="1"/>
    </row>
    <row r="144" spans="1:18" customFormat="1">
      <c r="A144" s="27"/>
      <c r="B144" s="27" t="s">
        <v>446</v>
      </c>
      <c r="C144" s="27">
        <v>1</v>
      </c>
      <c r="D144" s="27" t="s">
        <v>447</v>
      </c>
      <c r="E144" s="27" t="s">
        <v>448</v>
      </c>
      <c r="F144" s="26">
        <v>21141020275</v>
      </c>
      <c r="G144" s="3" t="s">
        <v>449</v>
      </c>
      <c r="H144" s="26" t="s">
        <v>461</v>
      </c>
      <c r="I144" s="26" t="s">
        <v>462</v>
      </c>
      <c r="J144" s="26">
        <v>3573184</v>
      </c>
      <c r="K144" s="26" t="s">
        <v>38</v>
      </c>
      <c r="L144" s="33">
        <v>44501</v>
      </c>
      <c r="M144" s="35" t="s">
        <v>458</v>
      </c>
      <c r="N144" s="35"/>
      <c r="O144" s="30" t="s">
        <v>27</v>
      </c>
      <c r="Q144" s="1"/>
      <c r="R144" s="1"/>
    </row>
    <row r="145" spans="1:18" customFormat="1">
      <c r="A145" s="27"/>
      <c r="B145" s="27" t="s">
        <v>446</v>
      </c>
      <c r="C145" s="27">
        <v>1</v>
      </c>
      <c r="D145" s="27" t="s">
        <v>447</v>
      </c>
      <c r="E145" s="27" t="s">
        <v>448</v>
      </c>
      <c r="F145" s="26">
        <v>21032920253</v>
      </c>
      <c r="G145" s="26" t="s">
        <v>449</v>
      </c>
      <c r="H145" s="26" t="s">
        <v>463</v>
      </c>
      <c r="I145" s="26" t="s">
        <v>464</v>
      </c>
      <c r="J145" s="26">
        <v>3573185</v>
      </c>
      <c r="K145" s="26" t="s">
        <v>38</v>
      </c>
      <c r="L145" s="33">
        <v>44501</v>
      </c>
      <c r="M145" s="35" t="s">
        <v>458</v>
      </c>
      <c r="N145" s="35"/>
      <c r="O145" s="30" t="s">
        <v>27</v>
      </c>
      <c r="Q145" s="1"/>
      <c r="R145" s="1"/>
    </row>
    <row r="146" spans="1:18" customFormat="1">
      <c r="A146" s="27"/>
      <c r="B146" s="27" t="s">
        <v>446</v>
      </c>
      <c r="C146" s="27">
        <v>1</v>
      </c>
      <c r="D146" s="27" t="s">
        <v>447</v>
      </c>
      <c r="E146" s="27" t="s">
        <v>448</v>
      </c>
      <c r="F146" s="26">
        <v>21141020274</v>
      </c>
      <c r="G146" s="26" t="s">
        <v>449</v>
      </c>
      <c r="H146" s="26" t="s">
        <v>465</v>
      </c>
      <c r="I146" s="26" t="s">
        <v>466</v>
      </c>
      <c r="J146" s="26">
        <v>3573186</v>
      </c>
      <c r="K146" s="26" t="s">
        <v>38</v>
      </c>
      <c r="L146" s="33">
        <v>44501</v>
      </c>
      <c r="M146" s="35" t="s">
        <v>458</v>
      </c>
      <c r="N146" s="35"/>
      <c r="O146" s="30" t="s">
        <v>27</v>
      </c>
      <c r="Q146" s="1"/>
      <c r="R146" s="1"/>
    </row>
    <row r="147" spans="1:18" customFormat="1">
      <c r="A147" s="27"/>
      <c r="B147" s="27" t="s">
        <v>446</v>
      </c>
      <c r="C147" s="27">
        <v>1</v>
      </c>
      <c r="D147" s="27" t="s">
        <v>447</v>
      </c>
      <c r="E147" s="27" t="s">
        <v>448</v>
      </c>
      <c r="F147" s="26">
        <v>21141020267</v>
      </c>
      <c r="G147" s="26" t="s">
        <v>449</v>
      </c>
      <c r="H147" s="26" t="s">
        <v>467</v>
      </c>
      <c r="I147" s="26" t="s">
        <v>468</v>
      </c>
      <c r="J147" s="26">
        <v>3573187</v>
      </c>
      <c r="K147" s="26" t="s">
        <v>38</v>
      </c>
      <c r="L147" s="33">
        <v>44501</v>
      </c>
      <c r="M147" s="35" t="s">
        <v>458</v>
      </c>
      <c r="N147" s="35"/>
      <c r="O147" s="30" t="s">
        <v>27</v>
      </c>
      <c r="Q147" s="1"/>
      <c r="R147" s="1"/>
    </row>
    <row r="148" spans="1:18" customFormat="1">
      <c r="A148" s="1"/>
      <c r="B148" s="27" t="s">
        <v>446</v>
      </c>
      <c r="C148" s="27">
        <v>1</v>
      </c>
      <c r="D148" s="27" t="s">
        <v>447</v>
      </c>
      <c r="E148" s="27" t="s">
        <v>448</v>
      </c>
      <c r="F148" s="26">
        <v>21141020269</v>
      </c>
      <c r="G148" s="26" t="s">
        <v>449</v>
      </c>
      <c r="H148" s="26" t="s">
        <v>469</v>
      </c>
      <c r="I148" s="26" t="s">
        <v>470</v>
      </c>
      <c r="J148" s="26">
        <v>3573188</v>
      </c>
      <c r="K148" s="26" t="s">
        <v>38</v>
      </c>
      <c r="L148" s="33">
        <v>44501</v>
      </c>
      <c r="M148" s="35" t="s">
        <v>458</v>
      </c>
      <c r="N148" s="35"/>
      <c r="O148" s="30" t="s">
        <v>27</v>
      </c>
      <c r="Q148" s="1"/>
      <c r="R148" s="1"/>
    </row>
    <row r="149" spans="1:18" customFormat="1">
      <c r="A149" s="1"/>
      <c r="B149" s="27" t="s">
        <v>446</v>
      </c>
      <c r="C149" s="27">
        <v>1</v>
      </c>
      <c r="D149" s="27" t="s">
        <v>447</v>
      </c>
      <c r="E149" s="27" t="s">
        <v>448</v>
      </c>
      <c r="F149" s="26">
        <v>21141020265</v>
      </c>
      <c r="G149" s="26" t="s">
        <v>449</v>
      </c>
      <c r="H149" s="26" t="s">
        <v>471</v>
      </c>
      <c r="I149" s="26" t="s">
        <v>472</v>
      </c>
      <c r="J149" s="26">
        <v>3573189</v>
      </c>
      <c r="K149" s="26" t="s">
        <v>38</v>
      </c>
      <c r="L149" s="33">
        <v>44501</v>
      </c>
      <c r="M149" s="35" t="s">
        <v>458</v>
      </c>
      <c r="N149" s="35"/>
      <c r="O149" s="30" t="s">
        <v>27</v>
      </c>
      <c r="Q149" s="1"/>
      <c r="R149" s="1"/>
    </row>
    <row r="150" spans="1:18" customFormat="1">
      <c r="A150" s="53">
        <v>73</v>
      </c>
      <c r="B150" s="15" t="s">
        <v>473</v>
      </c>
      <c r="C150" s="16">
        <v>4</v>
      </c>
      <c r="D150" s="16" t="s">
        <v>35</v>
      </c>
      <c r="E150" s="16" t="s">
        <v>35</v>
      </c>
      <c r="F150" s="18" t="s">
        <v>35</v>
      </c>
      <c r="G150" s="18"/>
      <c r="H150" s="18" t="s">
        <v>474</v>
      </c>
      <c r="I150" s="18"/>
      <c r="J150" s="18"/>
      <c r="K150" s="18"/>
      <c r="L150" s="19">
        <v>43475</v>
      </c>
      <c r="M150" s="51" t="s">
        <v>475</v>
      </c>
      <c r="N150" s="51"/>
      <c r="O150" s="48" t="s">
        <v>27</v>
      </c>
      <c r="Q150" s="1"/>
      <c r="R150" s="1"/>
    </row>
    <row r="151" spans="1:18" customFormat="1">
      <c r="A151" s="27"/>
      <c r="B151" s="27" t="s">
        <v>140</v>
      </c>
      <c r="C151" s="27">
        <v>1</v>
      </c>
      <c r="D151" s="27" t="s">
        <v>141</v>
      </c>
      <c r="E151" s="27" t="s">
        <v>142</v>
      </c>
      <c r="F151" s="26" t="s">
        <v>35</v>
      </c>
      <c r="G151" s="26" t="s">
        <v>143</v>
      </c>
      <c r="H151" s="55" t="s">
        <v>476</v>
      </c>
      <c r="I151" s="55" t="s">
        <v>477</v>
      </c>
      <c r="J151" s="26" t="s">
        <v>35</v>
      </c>
      <c r="K151" s="26" t="s">
        <v>25</v>
      </c>
      <c r="L151" s="33">
        <v>44777</v>
      </c>
      <c r="M151" s="35" t="s">
        <v>78</v>
      </c>
      <c r="N151" s="35"/>
      <c r="O151" s="30" t="s">
        <v>27</v>
      </c>
      <c r="Q151" s="1"/>
      <c r="R151" s="1"/>
    </row>
    <row r="152" spans="1:18" customFormat="1">
      <c r="A152" s="27"/>
      <c r="B152" s="27" t="s">
        <v>140</v>
      </c>
      <c r="C152" s="27">
        <v>1</v>
      </c>
      <c r="D152" s="27" t="s">
        <v>141</v>
      </c>
      <c r="E152" s="27" t="s">
        <v>142</v>
      </c>
      <c r="F152" s="26" t="s">
        <v>35</v>
      </c>
      <c r="G152" s="26" t="s">
        <v>143</v>
      </c>
      <c r="H152" s="55" t="s">
        <v>478</v>
      </c>
      <c r="I152" s="55" t="s">
        <v>479</v>
      </c>
      <c r="J152" s="26" t="s">
        <v>35</v>
      </c>
      <c r="K152" s="26" t="s">
        <v>25</v>
      </c>
      <c r="L152" s="33">
        <v>44777</v>
      </c>
      <c r="M152" s="35" t="s">
        <v>78</v>
      </c>
      <c r="N152" s="35"/>
      <c r="O152" s="30" t="s">
        <v>27</v>
      </c>
      <c r="Q152" s="1"/>
      <c r="R152" s="1"/>
    </row>
    <row r="153" spans="1:18" customFormat="1">
      <c r="A153" s="1"/>
      <c r="B153" s="27" t="s">
        <v>140</v>
      </c>
      <c r="C153" s="27">
        <v>1</v>
      </c>
      <c r="D153" s="27" t="s">
        <v>141</v>
      </c>
      <c r="E153" s="27" t="s">
        <v>142</v>
      </c>
      <c r="F153" s="26" t="s">
        <v>35</v>
      </c>
      <c r="G153" s="26" t="s">
        <v>143</v>
      </c>
      <c r="H153" s="55" t="s">
        <v>480</v>
      </c>
      <c r="I153" s="55" t="s">
        <v>481</v>
      </c>
      <c r="J153" s="26" t="s">
        <v>35</v>
      </c>
      <c r="K153" s="26" t="s">
        <v>25</v>
      </c>
      <c r="L153" s="33">
        <v>44777</v>
      </c>
      <c r="M153" s="35" t="s">
        <v>90</v>
      </c>
      <c r="N153" s="35"/>
      <c r="O153" s="30" t="s">
        <v>27</v>
      </c>
      <c r="Q153" s="6"/>
      <c r="R153" s="1"/>
    </row>
    <row r="154" spans="1:18" customFormat="1" ht="30">
      <c r="A154" s="1"/>
      <c r="B154" s="87" t="s">
        <v>482</v>
      </c>
      <c r="C154" s="16">
        <v>2</v>
      </c>
      <c r="D154" s="16" t="s">
        <v>483</v>
      </c>
      <c r="E154" s="16" t="s">
        <v>484</v>
      </c>
      <c r="F154" s="18" t="s">
        <v>15</v>
      </c>
      <c r="G154" s="18" t="s">
        <v>485</v>
      </c>
      <c r="H154" s="18"/>
      <c r="I154" s="18"/>
      <c r="J154" s="18" t="s">
        <v>15</v>
      </c>
      <c r="K154" s="18"/>
      <c r="L154" s="19">
        <v>44558</v>
      </c>
      <c r="M154" s="51" t="s">
        <v>486</v>
      </c>
      <c r="N154" s="51"/>
      <c r="O154" s="48" t="s">
        <v>17</v>
      </c>
      <c r="Q154" s="1"/>
      <c r="R154" s="6"/>
    </row>
    <row r="155" spans="1:18" customFormat="1">
      <c r="A155" s="16">
        <v>75</v>
      </c>
      <c r="B155" s="15" t="s">
        <v>487</v>
      </c>
      <c r="C155" s="16">
        <v>1</v>
      </c>
      <c r="D155" s="16" t="s">
        <v>488</v>
      </c>
      <c r="E155" s="16" t="s">
        <v>489</v>
      </c>
      <c r="F155" s="84" t="s">
        <v>490</v>
      </c>
      <c r="G155" s="18" t="s">
        <v>35</v>
      </c>
      <c r="H155" s="18" t="s">
        <v>491</v>
      </c>
      <c r="I155" s="18" t="s">
        <v>492</v>
      </c>
      <c r="J155" s="18" t="s">
        <v>35</v>
      </c>
      <c r="K155" s="18" t="s">
        <v>38</v>
      </c>
      <c r="L155" s="19">
        <v>43475</v>
      </c>
      <c r="M155" s="51" t="s">
        <v>93</v>
      </c>
      <c r="N155" s="51"/>
      <c r="O155" s="48" t="s">
        <v>27</v>
      </c>
      <c r="Q155" s="1"/>
      <c r="R155" s="6"/>
    </row>
    <row r="156" spans="1:18" customFormat="1">
      <c r="A156" s="27"/>
      <c r="B156" s="27" t="s">
        <v>161</v>
      </c>
      <c r="C156" s="27">
        <v>1</v>
      </c>
      <c r="D156" s="27" t="s">
        <v>493</v>
      </c>
      <c r="E156" s="27" t="s">
        <v>494</v>
      </c>
      <c r="F156" s="27" t="s">
        <v>495</v>
      </c>
      <c r="G156" s="26" t="s">
        <v>35</v>
      </c>
      <c r="H156" s="26" t="s">
        <v>496</v>
      </c>
      <c r="I156" s="26" t="s">
        <v>497</v>
      </c>
      <c r="J156" s="26"/>
      <c r="K156" s="26" t="s">
        <v>25</v>
      </c>
      <c r="L156" s="33">
        <v>43475</v>
      </c>
      <c r="M156" s="35" t="s">
        <v>93</v>
      </c>
      <c r="N156" s="35"/>
      <c r="O156" s="30" t="s">
        <v>27</v>
      </c>
      <c r="Q156" s="1"/>
      <c r="R156" s="6"/>
    </row>
    <row r="157" spans="1:18" customFormat="1">
      <c r="A157" s="27"/>
      <c r="B157" s="27" t="s">
        <v>161</v>
      </c>
      <c r="C157" s="27">
        <v>1</v>
      </c>
      <c r="D157" s="27" t="s">
        <v>498</v>
      </c>
      <c r="E157" s="27" t="s">
        <v>499</v>
      </c>
      <c r="F157" s="27" t="s">
        <v>500</v>
      </c>
      <c r="G157" s="26" t="s">
        <v>35</v>
      </c>
      <c r="H157" s="26" t="s">
        <v>501</v>
      </c>
      <c r="I157" s="26" t="s">
        <v>502</v>
      </c>
      <c r="J157" s="26"/>
      <c r="K157" s="26" t="s">
        <v>25</v>
      </c>
      <c r="L157" s="33">
        <v>43475</v>
      </c>
      <c r="M157" s="35" t="s">
        <v>503</v>
      </c>
      <c r="N157" s="35"/>
      <c r="O157" s="30" t="s">
        <v>27</v>
      </c>
      <c r="Q157" s="1"/>
      <c r="R157" s="6"/>
    </row>
    <row r="158" spans="1:18">
      <c r="A158" s="27"/>
      <c r="B158" s="27" t="s">
        <v>161</v>
      </c>
      <c r="C158" s="27">
        <v>1</v>
      </c>
      <c r="D158" s="27" t="s">
        <v>256</v>
      </c>
      <c r="E158" s="27" t="s">
        <v>504</v>
      </c>
      <c r="F158" s="26" t="s">
        <v>505</v>
      </c>
      <c r="G158" s="26" t="s">
        <v>35</v>
      </c>
      <c r="H158" s="26" t="s">
        <v>506</v>
      </c>
      <c r="I158" s="26" t="s">
        <v>507</v>
      </c>
      <c r="J158" s="26"/>
      <c r="K158" s="26" t="s">
        <v>25</v>
      </c>
      <c r="L158" s="33">
        <v>43475</v>
      </c>
      <c r="M158" s="35" t="s">
        <v>508</v>
      </c>
      <c r="N158" s="35"/>
      <c r="O158" s="30" t="s">
        <v>27</v>
      </c>
    </row>
    <row r="159" spans="1:18">
      <c r="A159" s="27"/>
      <c r="B159" s="27" t="s">
        <v>161</v>
      </c>
      <c r="C159" s="27">
        <v>1</v>
      </c>
      <c r="D159" s="27" t="s">
        <v>509</v>
      </c>
      <c r="E159" s="27" t="s">
        <v>510</v>
      </c>
      <c r="F159" s="27" t="s">
        <v>511</v>
      </c>
      <c r="G159" s="26" t="s">
        <v>35</v>
      </c>
      <c r="H159" s="26" t="s">
        <v>512</v>
      </c>
      <c r="I159" s="26" t="s">
        <v>513</v>
      </c>
      <c r="J159" s="26"/>
      <c r="K159" s="26" t="s">
        <v>25</v>
      </c>
      <c r="L159" s="33">
        <v>43475</v>
      </c>
      <c r="M159" s="35" t="s">
        <v>102</v>
      </c>
      <c r="N159" s="35"/>
      <c r="O159" s="30" t="s">
        <v>27</v>
      </c>
    </row>
    <row r="160" spans="1:18">
      <c r="A160" s="27"/>
      <c r="B160" s="27" t="s">
        <v>161</v>
      </c>
      <c r="C160" s="27">
        <v>1</v>
      </c>
      <c r="D160" s="27" t="s">
        <v>493</v>
      </c>
      <c r="E160" s="27" t="s">
        <v>494</v>
      </c>
      <c r="F160" s="26" t="s">
        <v>514</v>
      </c>
      <c r="G160" s="26" t="s">
        <v>35</v>
      </c>
      <c r="H160" s="26" t="s">
        <v>515</v>
      </c>
      <c r="I160" s="26" t="s">
        <v>516</v>
      </c>
      <c r="J160" s="26"/>
      <c r="K160" s="26" t="s">
        <v>25</v>
      </c>
      <c r="L160" s="33">
        <v>43475</v>
      </c>
      <c r="M160" s="35" t="s">
        <v>93</v>
      </c>
      <c r="N160" s="35"/>
      <c r="O160" s="30" t="s">
        <v>27</v>
      </c>
    </row>
    <row r="161" spans="1:18">
      <c r="A161" s="16">
        <v>97</v>
      </c>
      <c r="B161" s="15" t="s">
        <v>517</v>
      </c>
      <c r="C161" s="16">
        <v>1</v>
      </c>
      <c r="D161" s="16" t="s">
        <v>518</v>
      </c>
      <c r="E161" s="16" t="s">
        <v>519</v>
      </c>
      <c r="F161" s="18"/>
      <c r="G161" s="18" t="s">
        <v>35</v>
      </c>
      <c r="H161" s="18" t="s">
        <v>520</v>
      </c>
      <c r="I161" s="18"/>
      <c r="J161" s="18"/>
      <c r="K161" s="18" t="s">
        <v>25</v>
      </c>
      <c r="L161" s="19">
        <v>43475</v>
      </c>
      <c r="M161" s="51" t="s">
        <v>93</v>
      </c>
      <c r="N161" s="51"/>
      <c r="O161" s="48" t="s">
        <v>94</v>
      </c>
    </row>
    <row r="162" spans="1:18">
      <c r="A162" s="27"/>
      <c r="B162" s="27" t="s">
        <v>521</v>
      </c>
      <c r="C162" s="27">
        <v>1</v>
      </c>
      <c r="D162" s="27" t="s">
        <v>131</v>
      </c>
      <c r="E162" s="27" t="s">
        <v>522</v>
      </c>
      <c r="F162" s="26" t="s">
        <v>523</v>
      </c>
      <c r="G162" s="26" t="s">
        <v>524</v>
      </c>
      <c r="H162" s="88" t="s">
        <v>525</v>
      </c>
      <c r="I162" s="26" t="s">
        <v>526</v>
      </c>
      <c r="J162" s="26">
        <v>3573201</v>
      </c>
      <c r="K162" s="26" t="s">
        <v>25</v>
      </c>
      <c r="L162" s="33">
        <v>44655</v>
      </c>
      <c r="M162" s="35" t="s">
        <v>527</v>
      </c>
      <c r="N162" s="35" t="s">
        <v>27</v>
      </c>
      <c r="O162" s="30" t="s">
        <v>27</v>
      </c>
      <c r="P162" s="89"/>
    </row>
    <row r="163" spans="1:18">
      <c r="B163" s="27" t="s">
        <v>521</v>
      </c>
      <c r="C163" s="27">
        <v>1</v>
      </c>
      <c r="D163" s="27" t="s">
        <v>131</v>
      </c>
      <c r="E163" s="27" t="s">
        <v>522</v>
      </c>
      <c r="F163" s="26" t="s">
        <v>528</v>
      </c>
      <c r="G163" s="26" t="s">
        <v>524</v>
      </c>
      <c r="H163" s="88" t="s">
        <v>529</v>
      </c>
      <c r="I163" s="26" t="s">
        <v>530</v>
      </c>
      <c r="J163" s="26">
        <v>3573202</v>
      </c>
      <c r="K163" s="26" t="s">
        <v>25</v>
      </c>
      <c r="L163" s="33">
        <v>44655</v>
      </c>
      <c r="M163" s="35" t="s">
        <v>531</v>
      </c>
      <c r="N163" s="35" t="s">
        <v>27</v>
      </c>
      <c r="O163" s="30" t="s">
        <v>27</v>
      </c>
      <c r="R163" s="1"/>
    </row>
    <row r="164" spans="1:18">
      <c r="A164" s="53"/>
      <c r="B164" s="15" t="s">
        <v>532</v>
      </c>
      <c r="C164" s="16">
        <v>6</v>
      </c>
      <c r="D164" s="16" t="s">
        <v>533</v>
      </c>
      <c r="E164" s="16" t="s">
        <v>534</v>
      </c>
      <c r="F164" s="18" t="s">
        <v>35</v>
      </c>
      <c r="G164" s="18" t="s">
        <v>535</v>
      </c>
      <c r="H164" s="18" t="s">
        <v>536</v>
      </c>
      <c r="I164" s="18" t="s">
        <v>35</v>
      </c>
      <c r="J164" s="18" t="s">
        <v>35</v>
      </c>
      <c r="K164" s="18" t="s">
        <v>25</v>
      </c>
      <c r="L164" s="19">
        <v>43942</v>
      </c>
      <c r="M164" s="51" t="s">
        <v>93</v>
      </c>
      <c r="N164" s="51"/>
      <c r="O164" s="48" t="s">
        <v>27</v>
      </c>
      <c r="Q164" s="6"/>
      <c r="R164" s="1"/>
    </row>
    <row r="165" spans="1:18">
      <c r="A165" s="53"/>
      <c r="B165" s="15" t="s">
        <v>537</v>
      </c>
      <c r="C165" s="16">
        <v>1</v>
      </c>
      <c r="D165" s="16" t="s">
        <v>538</v>
      </c>
      <c r="E165" s="16" t="s">
        <v>35</v>
      </c>
      <c r="F165" s="18" t="s">
        <v>35</v>
      </c>
      <c r="G165" s="18" t="s">
        <v>539</v>
      </c>
      <c r="H165" s="18" t="s">
        <v>540</v>
      </c>
      <c r="I165" s="18" t="s">
        <v>35</v>
      </c>
      <c r="J165" s="18" t="s">
        <v>35</v>
      </c>
      <c r="K165" s="18" t="s">
        <v>25</v>
      </c>
      <c r="L165" s="19">
        <v>43945</v>
      </c>
      <c r="M165" s="51" t="s">
        <v>93</v>
      </c>
      <c r="N165" s="51"/>
      <c r="O165" s="48" t="s">
        <v>94</v>
      </c>
      <c r="Q165" s="6"/>
      <c r="R165" s="1"/>
    </row>
    <row r="166" spans="1:18">
      <c r="A166" s="53"/>
      <c r="B166" s="15" t="s">
        <v>541</v>
      </c>
      <c r="C166" s="16">
        <v>4</v>
      </c>
      <c r="D166" s="16" t="s">
        <v>542</v>
      </c>
      <c r="E166" s="16" t="s">
        <v>35</v>
      </c>
      <c r="F166" s="18" t="s">
        <v>35</v>
      </c>
      <c r="G166" s="18" t="s">
        <v>543</v>
      </c>
      <c r="H166" s="18" t="s">
        <v>544</v>
      </c>
      <c r="I166" s="18" t="s">
        <v>35</v>
      </c>
      <c r="J166" s="18" t="s">
        <v>35</v>
      </c>
      <c r="K166" s="18" t="s">
        <v>25</v>
      </c>
      <c r="L166" s="19">
        <v>43920</v>
      </c>
      <c r="M166" s="51" t="s">
        <v>93</v>
      </c>
      <c r="N166" s="51"/>
      <c r="O166" s="48" t="s">
        <v>94</v>
      </c>
      <c r="Q166" s="6"/>
      <c r="R166" s="1"/>
    </row>
    <row r="167" spans="1:18">
      <c r="B167" s="27" t="s">
        <v>243</v>
      </c>
      <c r="C167" s="27">
        <v>1</v>
      </c>
      <c r="D167" s="27" t="s">
        <v>244</v>
      </c>
      <c r="E167" s="27" t="s">
        <v>245</v>
      </c>
      <c r="F167" s="31" t="s">
        <v>545</v>
      </c>
      <c r="G167" s="26" t="s">
        <v>35</v>
      </c>
      <c r="H167" s="26" t="s">
        <v>546</v>
      </c>
      <c r="I167" s="26" t="s">
        <v>547</v>
      </c>
      <c r="J167" s="26" t="s">
        <v>548</v>
      </c>
      <c r="K167" s="26" t="s">
        <v>25</v>
      </c>
      <c r="L167" s="33">
        <v>43475</v>
      </c>
      <c r="M167" s="35" t="s">
        <v>117</v>
      </c>
      <c r="N167" s="35"/>
      <c r="O167" s="30" t="s">
        <v>27</v>
      </c>
      <c r="Q167" s="6"/>
      <c r="R167" s="1"/>
    </row>
    <row r="168" spans="1:18">
      <c r="B168" s="27" t="s">
        <v>243</v>
      </c>
      <c r="C168" s="27">
        <v>1</v>
      </c>
      <c r="D168" s="27" t="s">
        <v>244</v>
      </c>
      <c r="E168" s="27" t="s">
        <v>245</v>
      </c>
      <c r="F168" s="31" t="s">
        <v>549</v>
      </c>
      <c r="G168" s="26" t="s">
        <v>35</v>
      </c>
      <c r="H168" s="26" t="s">
        <v>550</v>
      </c>
      <c r="I168" s="26" t="s">
        <v>551</v>
      </c>
      <c r="J168" s="26" t="s">
        <v>548</v>
      </c>
      <c r="K168" s="26" t="s">
        <v>25</v>
      </c>
      <c r="L168" s="33">
        <v>43475</v>
      </c>
      <c r="M168" s="35" t="s">
        <v>117</v>
      </c>
      <c r="N168" s="35"/>
      <c r="O168" s="30" t="s">
        <v>27</v>
      </c>
      <c r="Q168" s="6"/>
      <c r="R168" s="1"/>
    </row>
    <row r="169" spans="1:18">
      <c r="B169" s="27" t="s">
        <v>243</v>
      </c>
      <c r="C169" s="27">
        <v>1</v>
      </c>
      <c r="D169" s="27" t="s">
        <v>244</v>
      </c>
      <c r="E169" s="27" t="s">
        <v>245</v>
      </c>
      <c r="F169" s="31" t="s">
        <v>552</v>
      </c>
      <c r="G169" s="26" t="s">
        <v>35</v>
      </c>
      <c r="H169" s="26" t="s">
        <v>553</v>
      </c>
      <c r="I169" s="26" t="s">
        <v>554</v>
      </c>
      <c r="J169" s="26" t="s">
        <v>548</v>
      </c>
      <c r="K169" s="26" t="s">
        <v>25</v>
      </c>
      <c r="L169" s="33">
        <v>43475</v>
      </c>
      <c r="M169" s="35" t="s">
        <v>117</v>
      </c>
      <c r="N169" s="35"/>
      <c r="O169" s="30" t="s">
        <v>27</v>
      </c>
      <c r="Q169" s="6"/>
      <c r="R169" s="1"/>
    </row>
    <row r="170" spans="1:18">
      <c r="B170" s="27" t="s">
        <v>243</v>
      </c>
      <c r="C170" s="27">
        <v>1</v>
      </c>
      <c r="D170" s="27" t="s">
        <v>244</v>
      </c>
      <c r="E170" s="27" t="s">
        <v>245</v>
      </c>
      <c r="F170" s="31" t="s">
        <v>555</v>
      </c>
      <c r="G170" s="26" t="s">
        <v>35</v>
      </c>
      <c r="H170" s="26" t="s">
        <v>556</v>
      </c>
      <c r="I170" s="26" t="s">
        <v>557</v>
      </c>
      <c r="J170" s="26" t="s">
        <v>548</v>
      </c>
      <c r="K170" s="26" t="s">
        <v>25</v>
      </c>
      <c r="L170" s="33">
        <v>43475</v>
      </c>
      <c r="M170" s="35" t="s">
        <v>169</v>
      </c>
      <c r="N170" s="35"/>
      <c r="O170" s="30" t="s">
        <v>27</v>
      </c>
      <c r="Q170" s="6"/>
      <c r="R170" s="1"/>
    </row>
    <row r="171" spans="1:18">
      <c r="B171" s="27" t="s">
        <v>243</v>
      </c>
      <c r="C171" s="27">
        <v>1</v>
      </c>
      <c r="D171" s="27" t="s">
        <v>244</v>
      </c>
      <c r="E171" s="27" t="s">
        <v>245</v>
      </c>
      <c r="F171" s="31" t="s">
        <v>558</v>
      </c>
      <c r="G171" s="26" t="s">
        <v>35</v>
      </c>
      <c r="H171" s="26" t="s">
        <v>559</v>
      </c>
      <c r="I171" s="26" t="s">
        <v>560</v>
      </c>
      <c r="J171" s="26" t="s">
        <v>548</v>
      </c>
      <c r="K171" s="26" t="s">
        <v>25</v>
      </c>
      <c r="L171" s="33">
        <v>43475</v>
      </c>
      <c r="M171" s="35" t="s">
        <v>561</v>
      </c>
      <c r="N171" s="35"/>
      <c r="O171" s="30" t="s">
        <v>27</v>
      </c>
      <c r="Q171" s="6"/>
      <c r="R171" s="1"/>
    </row>
    <row r="172" spans="1:18">
      <c r="B172" s="27" t="s">
        <v>243</v>
      </c>
      <c r="C172" s="27">
        <v>1</v>
      </c>
      <c r="D172" s="27" t="s">
        <v>244</v>
      </c>
      <c r="E172" s="27" t="s">
        <v>245</v>
      </c>
      <c r="F172" s="31" t="s">
        <v>562</v>
      </c>
      <c r="G172" s="26" t="s">
        <v>35</v>
      </c>
      <c r="H172" s="26" t="s">
        <v>563</v>
      </c>
      <c r="I172" s="26" t="s">
        <v>564</v>
      </c>
      <c r="J172" s="26" t="s">
        <v>548</v>
      </c>
      <c r="K172" s="26" t="s">
        <v>25</v>
      </c>
      <c r="L172" s="33">
        <v>43475</v>
      </c>
      <c r="M172" s="35" t="s">
        <v>565</v>
      </c>
      <c r="N172" s="35"/>
      <c r="O172" s="30" t="s">
        <v>27</v>
      </c>
      <c r="Q172" s="6"/>
      <c r="R172" s="1"/>
    </row>
    <row r="173" spans="1:18">
      <c r="B173" s="27" t="s">
        <v>243</v>
      </c>
      <c r="C173" s="27">
        <v>1</v>
      </c>
      <c r="D173" s="27" t="s">
        <v>244</v>
      </c>
      <c r="E173" s="27" t="s">
        <v>245</v>
      </c>
      <c r="F173" s="31" t="s">
        <v>566</v>
      </c>
      <c r="G173" s="26" t="s">
        <v>35</v>
      </c>
      <c r="H173" s="26" t="s">
        <v>567</v>
      </c>
      <c r="I173" s="26" t="s">
        <v>568</v>
      </c>
      <c r="J173" s="26" t="s">
        <v>548</v>
      </c>
      <c r="K173" s="26" t="s">
        <v>25</v>
      </c>
      <c r="L173" s="33">
        <v>43475</v>
      </c>
      <c r="M173" s="35" t="s">
        <v>117</v>
      </c>
      <c r="N173" s="35"/>
      <c r="O173" s="30" t="s">
        <v>27</v>
      </c>
      <c r="Q173" s="6"/>
      <c r="R173" s="1"/>
    </row>
    <row r="174" spans="1:18" customFormat="1">
      <c r="A174" s="1"/>
      <c r="B174" s="27" t="s">
        <v>243</v>
      </c>
      <c r="C174" s="27">
        <v>1</v>
      </c>
      <c r="D174" s="27" t="s">
        <v>244</v>
      </c>
      <c r="E174" s="27" t="s">
        <v>245</v>
      </c>
      <c r="F174" s="31" t="s">
        <v>569</v>
      </c>
      <c r="G174" s="26" t="s">
        <v>35</v>
      </c>
      <c r="H174" s="26" t="s">
        <v>570</v>
      </c>
      <c r="I174" s="26" t="s">
        <v>571</v>
      </c>
      <c r="J174" s="26" t="s">
        <v>548</v>
      </c>
      <c r="K174" s="26" t="s">
        <v>25</v>
      </c>
      <c r="L174" s="33">
        <v>43475</v>
      </c>
      <c r="M174" s="35" t="s">
        <v>117</v>
      </c>
      <c r="N174" s="35"/>
      <c r="O174" s="30" t="s">
        <v>27</v>
      </c>
    </row>
    <row r="175" spans="1:18" customFormat="1">
      <c r="A175" s="1"/>
      <c r="B175" s="27" t="s">
        <v>243</v>
      </c>
      <c r="C175" s="27">
        <v>1</v>
      </c>
      <c r="D175" s="27" t="s">
        <v>244</v>
      </c>
      <c r="E175" s="27" t="s">
        <v>245</v>
      </c>
      <c r="F175" s="31" t="s">
        <v>572</v>
      </c>
      <c r="G175" s="26" t="s">
        <v>35</v>
      </c>
      <c r="H175" s="26" t="s">
        <v>573</v>
      </c>
      <c r="I175" s="26" t="s">
        <v>574</v>
      </c>
      <c r="J175" s="26" t="s">
        <v>548</v>
      </c>
      <c r="K175" s="26" t="s">
        <v>25</v>
      </c>
      <c r="L175" s="33">
        <v>43475</v>
      </c>
      <c r="M175" s="35" t="s">
        <v>102</v>
      </c>
      <c r="N175" s="35"/>
      <c r="O175" s="30" t="s">
        <v>27</v>
      </c>
    </row>
    <row r="176" spans="1:18" customFormat="1">
      <c r="A176" s="1"/>
      <c r="B176" s="27" t="s">
        <v>243</v>
      </c>
      <c r="C176" s="27">
        <v>1</v>
      </c>
      <c r="D176" s="27" t="s">
        <v>244</v>
      </c>
      <c r="E176" s="27" t="s">
        <v>245</v>
      </c>
      <c r="F176" s="31" t="s">
        <v>575</v>
      </c>
      <c r="G176" s="26" t="s">
        <v>35</v>
      </c>
      <c r="H176" s="26" t="s">
        <v>576</v>
      </c>
      <c r="I176" s="26" t="s">
        <v>577</v>
      </c>
      <c r="J176" s="26" t="s">
        <v>548</v>
      </c>
      <c r="K176" s="26" t="s">
        <v>25</v>
      </c>
      <c r="L176" s="33">
        <v>43475</v>
      </c>
      <c r="M176" s="35" t="s">
        <v>117</v>
      </c>
      <c r="N176" s="35"/>
      <c r="O176" s="30" t="s">
        <v>27</v>
      </c>
    </row>
    <row r="177" spans="1:15" customFormat="1">
      <c r="A177" s="53" t="s">
        <v>578</v>
      </c>
      <c r="B177" s="15" t="s">
        <v>579</v>
      </c>
      <c r="C177" s="16">
        <v>2</v>
      </c>
      <c r="D177" s="16" t="s">
        <v>580</v>
      </c>
      <c r="E177" s="16" t="s">
        <v>581</v>
      </c>
      <c r="F177" s="18" t="s">
        <v>35</v>
      </c>
      <c r="G177" s="18" t="s">
        <v>582</v>
      </c>
      <c r="H177" s="18" t="s">
        <v>583</v>
      </c>
      <c r="I177" s="18" t="s">
        <v>35</v>
      </c>
      <c r="J177" s="18" t="s">
        <v>35</v>
      </c>
      <c r="K177" s="18" t="s">
        <v>25</v>
      </c>
      <c r="L177" s="19">
        <v>44019</v>
      </c>
      <c r="M177" s="51" t="s">
        <v>93</v>
      </c>
      <c r="N177" s="51"/>
      <c r="O177" s="48" t="s">
        <v>94</v>
      </c>
    </row>
    <row r="178" spans="1:15" customFormat="1">
      <c r="A178" s="53">
        <v>85</v>
      </c>
      <c r="B178" s="15" t="s">
        <v>584</v>
      </c>
      <c r="C178" s="16">
        <v>1</v>
      </c>
      <c r="D178" s="16" t="s">
        <v>585</v>
      </c>
      <c r="E178" s="16" t="s">
        <v>586</v>
      </c>
      <c r="F178" s="18" t="s">
        <v>587</v>
      </c>
      <c r="G178" s="18" t="s">
        <v>35</v>
      </c>
      <c r="H178" s="18" t="s">
        <v>588</v>
      </c>
      <c r="I178" s="18" t="s">
        <v>589</v>
      </c>
      <c r="J178" s="18">
        <v>3476746</v>
      </c>
      <c r="K178" s="18" t="s">
        <v>25</v>
      </c>
      <c r="L178" s="19">
        <v>43475</v>
      </c>
      <c r="M178" s="51" t="s">
        <v>590</v>
      </c>
      <c r="N178" s="51"/>
      <c r="O178" s="48" t="s">
        <v>94</v>
      </c>
    </row>
    <row r="179" spans="1:15" customFormat="1">
      <c r="A179" s="53"/>
      <c r="B179" s="75" t="s">
        <v>591</v>
      </c>
      <c r="C179" s="16">
        <v>1</v>
      </c>
      <c r="D179" s="18" t="s">
        <v>592</v>
      </c>
      <c r="E179" s="18" t="s">
        <v>593</v>
      </c>
      <c r="F179" s="18">
        <v>27811</v>
      </c>
      <c r="G179" s="18" t="s">
        <v>35</v>
      </c>
      <c r="H179" s="18" t="s">
        <v>594</v>
      </c>
      <c r="I179" s="18" t="s">
        <v>595</v>
      </c>
      <c r="J179" s="18" t="s">
        <v>35</v>
      </c>
      <c r="K179" s="18" t="s">
        <v>38</v>
      </c>
      <c r="L179" s="19">
        <v>43475</v>
      </c>
      <c r="M179" s="51" t="s">
        <v>93</v>
      </c>
      <c r="N179" s="51"/>
      <c r="O179" s="48" t="s">
        <v>27</v>
      </c>
    </row>
    <row r="180" spans="1:15" customFormat="1">
      <c r="A180" s="53">
        <v>9</v>
      </c>
      <c r="B180" s="15" t="s">
        <v>72</v>
      </c>
      <c r="C180" s="16">
        <v>2</v>
      </c>
      <c r="D180" s="16" t="s">
        <v>73</v>
      </c>
      <c r="E180" s="16" t="s">
        <v>74</v>
      </c>
      <c r="F180" s="18" t="s">
        <v>15</v>
      </c>
      <c r="G180" s="18" t="s">
        <v>15</v>
      </c>
      <c r="H180" s="18"/>
      <c r="I180" s="18" t="s">
        <v>15</v>
      </c>
      <c r="J180" s="18" t="s">
        <v>15</v>
      </c>
      <c r="K180" s="18"/>
      <c r="L180" s="19">
        <v>43475</v>
      </c>
      <c r="M180" s="51" t="s">
        <v>596</v>
      </c>
      <c r="N180" s="51"/>
      <c r="O180" s="48" t="s">
        <v>17</v>
      </c>
    </row>
    <row r="181" spans="1:15" customFormat="1">
      <c r="A181" s="1"/>
      <c r="B181" s="27" t="s">
        <v>128</v>
      </c>
      <c r="C181" s="27">
        <v>1</v>
      </c>
      <c r="D181" s="27" t="s">
        <v>129</v>
      </c>
      <c r="E181" s="27">
        <v>333</v>
      </c>
      <c r="F181" s="26">
        <v>2074977</v>
      </c>
      <c r="G181" s="26">
        <v>500204420707</v>
      </c>
      <c r="H181" s="26" t="s">
        <v>597</v>
      </c>
      <c r="I181" s="26" t="s">
        <v>598</v>
      </c>
      <c r="J181" s="26" t="s">
        <v>35</v>
      </c>
      <c r="K181" s="26" t="s">
        <v>25</v>
      </c>
      <c r="L181" s="33">
        <v>43475</v>
      </c>
      <c r="M181" s="35" t="s">
        <v>78</v>
      </c>
      <c r="N181" s="35"/>
      <c r="O181" s="30" t="s">
        <v>27</v>
      </c>
    </row>
    <row r="182" spans="1:15" customFormat="1">
      <c r="A182" s="1"/>
      <c r="B182" s="27" t="s">
        <v>128</v>
      </c>
      <c r="C182" s="27">
        <v>1</v>
      </c>
      <c r="D182" s="27" t="s">
        <v>129</v>
      </c>
      <c r="E182" s="27">
        <v>333</v>
      </c>
      <c r="F182" s="26">
        <v>2074976</v>
      </c>
      <c r="G182" s="26">
        <v>500204420429</v>
      </c>
      <c r="H182" s="26" t="s">
        <v>599</v>
      </c>
      <c r="I182" s="26" t="s">
        <v>600</v>
      </c>
      <c r="J182" s="26" t="s">
        <v>35</v>
      </c>
      <c r="K182" s="26" t="s">
        <v>25</v>
      </c>
      <c r="L182" s="33">
        <v>43475</v>
      </c>
      <c r="M182" s="35" t="s">
        <v>78</v>
      </c>
      <c r="N182" s="35"/>
      <c r="O182" s="30" t="s">
        <v>27</v>
      </c>
    </row>
    <row r="183" spans="1:15" customFormat="1">
      <c r="A183" s="1"/>
      <c r="B183" s="27" t="s">
        <v>128</v>
      </c>
      <c r="C183" s="27">
        <v>1</v>
      </c>
      <c r="D183" s="27" t="s">
        <v>129</v>
      </c>
      <c r="E183" s="27">
        <v>333</v>
      </c>
      <c r="F183" s="26">
        <v>2074965</v>
      </c>
      <c r="G183" s="26" t="s">
        <v>35</v>
      </c>
      <c r="H183" s="26" t="s">
        <v>601</v>
      </c>
      <c r="I183" s="26" t="s">
        <v>602</v>
      </c>
      <c r="J183" s="26" t="s">
        <v>35</v>
      </c>
      <c r="K183" s="26" t="s">
        <v>25</v>
      </c>
      <c r="L183" s="33">
        <v>43475</v>
      </c>
      <c r="M183" s="35" t="s">
        <v>603</v>
      </c>
      <c r="N183" s="35"/>
      <c r="O183" s="30" t="s">
        <v>27</v>
      </c>
    </row>
    <row r="184" spans="1:15" customFormat="1">
      <c r="A184" s="1"/>
      <c r="B184" s="27" t="s">
        <v>128</v>
      </c>
      <c r="C184" s="27">
        <v>1</v>
      </c>
      <c r="D184" s="27" t="s">
        <v>129</v>
      </c>
      <c r="E184" s="27">
        <v>333</v>
      </c>
      <c r="F184" s="26">
        <v>2074975</v>
      </c>
      <c r="G184" s="26">
        <v>500204400654</v>
      </c>
      <c r="H184" s="26" t="s">
        <v>604</v>
      </c>
      <c r="I184" s="26" t="s">
        <v>605</v>
      </c>
      <c r="J184" s="26" t="s">
        <v>35</v>
      </c>
      <c r="K184" s="26" t="s">
        <v>25</v>
      </c>
      <c r="L184" s="33">
        <v>43475</v>
      </c>
      <c r="M184" s="35" t="s">
        <v>26</v>
      </c>
      <c r="N184" s="35"/>
      <c r="O184" s="30" t="s">
        <v>27</v>
      </c>
    </row>
    <row r="185" spans="1:15" s="1" customFormat="1" outlineLevel="1">
      <c r="A185" s="27"/>
      <c r="B185" s="27" t="s">
        <v>128</v>
      </c>
      <c r="C185" s="78">
        <v>1</v>
      </c>
      <c r="D185" s="78" t="s">
        <v>606</v>
      </c>
      <c r="E185" s="78" t="s">
        <v>607</v>
      </c>
      <c r="F185" s="3">
        <v>2023101456321180</v>
      </c>
      <c r="G185" s="64" t="s">
        <v>608</v>
      </c>
      <c r="H185" s="26" t="s">
        <v>609</v>
      </c>
      <c r="I185" s="26" t="s">
        <v>35</v>
      </c>
      <c r="J185" s="26" t="s">
        <v>35</v>
      </c>
      <c r="K185" s="26" t="s">
        <v>25</v>
      </c>
      <c r="L185" s="30"/>
      <c r="M185" s="35" t="s">
        <v>603</v>
      </c>
      <c r="N185" s="90"/>
      <c r="O185" s="27"/>
    </row>
    <row r="186" spans="1:15" customFormat="1">
      <c r="A186" s="53">
        <v>16</v>
      </c>
      <c r="B186" s="15" t="s">
        <v>610</v>
      </c>
      <c r="C186" s="16">
        <v>100</v>
      </c>
      <c r="D186" s="16" t="s">
        <v>611</v>
      </c>
      <c r="E186" s="16" t="s">
        <v>35</v>
      </c>
      <c r="F186" s="18" t="s">
        <v>15</v>
      </c>
      <c r="G186" s="18" t="s">
        <v>35</v>
      </c>
      <c r="H186" s="18" t="s">
        <v>612</v>
      </c>
      <c r="I186" s="18" t="s">
        <v>35</v>
      </c>
      <c r="J186" s="18" t="s">
        <v>35</v>
      </c>
      <c r="K186" s="18"/>
      <c r="L186" s="19">
        <v>43475</v>
      </c>
      <c r="M186" s="51" t="s">
        <v>596</v>
      </c>
      <c r="N186" s="51"/>
      <c r="O186" s="48" t="s">
        <v>27</v>
      </c>
    </row>
    <row r="187" spans="1:15" customFormat="1">
      <c r="A187" s="1"/>
      <c r="B187" s="27" t="s">
        <v>246</v>
      </c>
      <c r="C187" s="27">
        <v>1</v>
      </c>
      <c r="D187" s="27" t="s">
        <v>244</v>
      </c>
      <c r="E187" s="27" t="s">
        <v>247</v>
      </c>
      <c r="F187" s="31" t="s">
        <v>613</v>
      </c>
      <c r="G187" s="26" t="s">
        <v>35</v>
      </c>
      <c r="H187" s="26" t="s">
        <v>614</v>
      </c>
      <c r="I187" s="26" t="s">
        <v>615</v>
      </c>
      <c r="J187" s="26" t="s">
        <v>548</v>
      </c>
      <c r="K187" s="26" t="s">
        <v>25</v>
      </c>
      <c r="L187" s="33">
        <v>43475</v>
      </c>
      <c r="M187" s="35" t="s">
        <v>117</v>
      </c>
      <c r="N187" s="35"/>
      <c r="O187" s="30" t="s">
        <v>27</v>
      </c>
    </row>
    <row r="188" spans="1:15" customFormat="1">
      <c r="A188" s="1"/>
      <c r="B188" s="27" t="s">
        <v>246</v>
      </c>
      <c r="C188" s="27">
        <v>1</v>
      </c>
      <c r="D188" s="27" t="s">
        <v>244</v>
      </c>
      <c r="E188" s="27" t="s">
        <v>247</v>
      </c>
      <c r="F188" s="31" t="s">
        <v>616</v>
      </c>
      <c r="G188" s="26" t="s">
        <v>35</v>
      </c>
      <c r="H188" s="26" t="s">
        <v>617</v>
      </c>
      <c r="I188" s="52" t="s">
        <v>618</v>
      </c>
      <c r="J188" s="26" t="s">
        <v>548</v>
      </c>
      <c r="K188" s="26" t="s">
        <v>25</v>
      </c>
      <c r="L188" s="33">
        <v>43475</v>
      </c>
      <c r="M188" s="35" t="s">
        <v>619</v>
      </c>
      <c r="N188" s="35"/>
      <c r="O188" s="30" t="s">
        <v>27</v>
      </c>
    </row>
    <row r="189" spans="1:15" customFormat="1">
      <c r="A189" s="1"/>
      <c r="B189" s="27" t="s">
        <v>246</v>
      </c>
      <c r="C189" s="27">
        <v>1</v>
      </c>
      <c r="D189" s="27" t="s">
        <v>244</v>
      </c>
      <c r="E189" s="27" t="s">
        <v>247</v>
      </c>
      <c r="F189" s="31" t="s">
        <v>620</v>
      </c>
      <c r="G189" s="3" t="s">
        <v>35</v>
      </c>
      <c r="H189" s="26" t="s">
        <v>621</v>
      </c>
      <c r="I189" s="26" t="s">
        <v>622</v>
      </c>
      <c r="J189" s="26" t="s">
        <v>548</v>
      </c>
      <c r="K189" s="26" t="s">
        <v>25</v>
      </c>
      <c r="L189" s="33">
        <v>43475</v>
      </c>
      <c r="M189" s="35" t="s">
        <v>117</v>
      </c>
      <c r="N189" s="35"/>
      <c r="O189" s="30" t="s">
        <v>27</v>
      </c>
    </row>
    <row r="190" spans="1:15" customFormat="1">
      <c r="A190" s="1"/>
      <c r="B190" s="27" t="s">
        <v>246</v>
      </c>
      <c r="C190" s="27">
        <v>1</v>
      </c>
      <c r="D190" s="27" t="s">
        <v>244</v>
      </c>
      <c r="E190" s="27" t="s">
        <v>247</v>
      </c>
      <c r="F190" s="31" t="s">
        <v>623</v>
      </c>
      <c r="G190" s="26" t="s">
        <v>35</v>
      </c>
      <c r="H190" s="26" t="s">
        <v>624</v>
      </c>
      <c r="I190" s="52" t="s">
        <v>625</v>
      </c>
      <c r="J190" s="26" t="s">
        <v>548</v>
      </c>
      <c r="K190" s="26" t="s">
        <v>25</v>
      </c>
      <c r="L190" s="33">
        <v>43475</v>
      </c>
      <c r="M190" s="35" t="s">
        <v>626</v>
      </c>
      <c r="N190" s="35"/>
      <c r="O190" s="30" t="s">
        <v>27</v>
      </c>
    </row>
    <row r="191" spans="1:15" customFormat="1">
      <c r="A191" s="1"/>
      <c r="B191" s="27" t="s">
        <v>246</v>
      </c>
      <c r="C191" s="27">
        <v>1</v>
      </c>
      <c r="D191" s="27" t="s">
        <v>244</v>
      </c>
      <c r="E191" s="27" t="s">
        <v>247</v>
      </c>
      <c r="F191" s="31" t="s">
        <v>627</v>
      </c>
      <c r="G191" s="26" t="s">
        <v>35</v>
      </c>
      <c r="H191" s="26" t="s">
        <v>628</v>
      </c>
      <c r="I191" s="26" t="s">
        <v>629</v>
      </c>
      <c r="J191" s="26" t="s">
        <v>548</v>
      </c>
      <c r="K191" s="26" t="s">
        <v>25</v>
      </c>
      <c r="L191" s="33">
        <v>43475</v>
      </c>
      <c r="M191" s="35" t="s">
        <v>626</v>
      </c>
      <c r="N191" s="35"/>
      <c r="O191" s="30" t="s">
        <v>27</v>
      </c>
    </row>
    <row r="192" spans="1:15" customFormat="1">
      <c r="A192" s="1"/>
      <c r="B192" s="27" t="s">
        <v>246</v>
      </c>
      <c r="C192" s="27">
        <v>1</v>
      </c>
      <c r="D192" s="27" t="s">
        <v>244</v>
      </c>
      <c r="E192" s="27" t="s">
        <v>247</v>
      </c>
      <c r="F192" s="31" t="s">
        <v>630</v>
      </c>
      <c r="G192" s="26" t="s">
        <v>35</v>
      </c>
      <c r="H192" s="26" t="s">
        <v>631</v>
      </c>
      <c r="I192" s="52" t="s">
        <v>632</v>
      </c>
      <c r="J192" s="26" t="s">
        <v>548</v>
      </c>
      <c r="K192" s="26" t="s">
        <v>25</v>
      </c>
      <c r="L192" s="33">
        <v>43475</v>
      </c>
      <c r="M192" s="35" t="s">
        <v>626</v>
      </c>
      <c r="N192" s="35"/>
      <c r="O192" s="30" t="s">
        <v>27</v>
      </c>
    </row>
    <row r="193" spans="1:17" customFormat="1">
      <c r="A193" s="1"/>
      <c r="B193" s="27" t="s">
        <v>246</v>
      </c>
      <c r="C193" s="27">
        <v>1</v>
      </c>
      <c r="D193" s="27" t="s">
        <v>244</v>
      </c>
      <c r="E193" s="27" t="s">
        <v>247</v>
      </c>
      <c r="F193" s="31" t="s">
        <v>633</v>
      </c>
      <c r="G193" s="26" t="s">
        <v>35</v>
      </c>
      <c r="H193" s="26" t="s">
        <v>634</v>
      </c>
      <c r="I193" s="26" t="s">
        <v>635</v>
      </c>
      <c r="J193" s="26" t="s">
        <v>548</v>
      </c>
      <c r="K193" s="26" t="s">
        <v>25</v>
      </c>
      <c r="L193" s="33">
        <v>43475</v>
      </c>
      <c r="M193" s="35" t="s">
        <v>117</v>
      </c>
      <c r="N193" s="35"/>
      <c r="O193" s="30" t="s">
        <v>27</v>
      </c>
    </row>
    <row r="194" spans="1:17" customFormat="1" ht="15.75" customHeight="1">
      <c r="A194" s="1"/>
      <c r="B194" s="27" t="s">
        <v>246</v>
      </c>
      <c r="C194" s="27">
        <v>1</v>
      </c>
      <c r="D194" s="27" t="s">
        <v>244</v>
      </c>
      <c r="E194" s="27" t="s">
        <v>247</v>
      </c>
      <c r="F194" s="31" t="s">
        <v>636</v>
      </c>
      <c r="G194" s="26" t="s">
        <v>35</v>
      </c>
      <c r="H194" s="26" t="s">
        <v>637</v>
      </c>
      <c r="I194" s="26" t="s">
        <v>638</v>
      </c>
      <c r="J194" s="26" t="s">
        <v>548</v>
      </c>
      <c r="K194" s="26" t="s">
        <v>25</v>
      </c>
      <c r="L194" s="33">
        <v>43475</v>
      </c>
      <c r="M194" s="35" t="s">
        <v>117</v>
      </c>
      <c r="N194" s="35"/>
      <c r="O194" s="30" t="s">
        <v>27</v>
      </c>
    </row>
    <row r="195" spans="1:17" customFormat="1" ht="14.25" customHeight="1">
      <c r="A195" s="1"/>
      <c r="B195" s="27" t="s">
        <v>246</v>
      </c>
      <c r="C195" s="27">
        <v>1</v>
      </c>
      <c r="D195" s="27" t="s">
        <v>244</v>
      </c>
      <c r="E195" s="27" t="s">
        <v>247</v>
      </c>
      <c r="F195" s="31" t="s">
        <v>639</v>
      </c>
      <c r="G195" s="26" t="s">
        <v>35</v>
      </c>
      <c r="H195" s="26" t="s">
        <v>640</v>
      </c>
      <c r="I195" s="26" t="s">
        <v>641</v>
      </c>
      <c r="J195" s="26" t="s">
        <v>548</v>
      </c>
      <c r="K195" s="26" t="s">
        <v>25</v>
      </c>
      <c r="L195" s="33">
        <v>43475</v>
      </c>
      <c r="M195" s="35" t="s">
        <v>117</v>
      </c>
      <c r="N195" s="35"/>
      <c r="O195" s="30" t="s">
        <v>27</v>
      </c>
    </row>
    <row r="196" spans="1:17" customFormat="1" ht="13.5" customHeight="1">
      <c r="A196" s="1"/>
      <c r="B196" s="27" t="s">
        <v>246</v>
      </c>
      <c r="C196" s="27">
        <v>1</v>
      </c>
      <c r="D196" s="27" t="s">
        <v>244</v>
      </c>
      <c r="E196" s="27" t="s">
        <v>247</v>
      </c>
      <c r="F196" s="31" t="s">
        <v>642</v>
      </c>
      <c r="G196" s="26" t="s">
        <v>35</v>
      </c>
      <c r="H196" s="26" t="s">
        <v>643</v>
      </c>
      <c r="I196" s="26" t="s">
        <v>644</v>
      </c>
      <c r="J196" s="26" t="s">
        <v>548</v>
      </c>
      <c r="K196" s="26" t="s">
        <v>25</v>
      </c>
      <c r="L196" s="33">
        <v>43475</v>
      </c>
      <c r="M196" s="35" t="s">
        <v>117</v>
      </c>
      <c r="N196" s="35"/>
      <c r="O196" s="30" t="s">
        <v>27</v>
      </c>
    </row>
    <row r="197" spans="1:17" customFormat="1">
      <c r="A197" s="53">
        <v>19</v>
      </c>
      <c r="B197" s="91" t="s">
        <v>645</v>
      </c>
      <c r="C197" s="77">
        <v>120</v>
      </c>
      <c r="D197" s="16" t="s">
        <v>35</v>
      </c>
      <c r="E197" s="16" t="s">
        <v>35</v>
      </c>
      <c r="F197" s="92" t="s">
        <v>15</v>
      </c>
      <c r="G197" s="18" t="s">
        <v>35</v>
      </c>
      <c r="H197" s="18" t="s">
        <v>646</v>
      </c>
      <c r="I197" s="18" t="s">
        <v>35</v>
      </c>
      <c r="J197" s="92" t="s">
        <v>35</v>
      </c>
      <c r="K197" s="92" t="s">
        <v>25</v>
      </c>
      <c r="L197" s="93">
        <v>43475</v>
      </c>
      <c r="M197" s="94" t="s">
        <v>596</v>
      </c>
      <c r="N197" s="94"/>
      <c r="O197" s="48" t="s">
        <v>17</v>
      </c>
    </row>
    <row r="198" spans="1:17" customFormat="1">
      <c r="A198" s="53">
        <v>17</v>
      </c>
      <c r="B198" s="91" t="s">
        <v>647</v>
      </c>
      <c r="C198" s="77">
        <v>35</v>
      </c>
      <c r="D198" s="16" t="s">
        <v>35</v>
      </c>
      <c r="E198" s="16" t="s">
        <v>35</v>
      </c>
      <c r="F198" s="92" t="s">
        <v>15</v>
      </c>
      <c r="G198" s="18" t="s">
        <v>35</v>
      </c>
      <c r="H198" s="18" t="s">
        <v>648</v>
      </c>
      <c r="I198" s="18" t="s">
        <v>35</v>
      </c>
      <c r="J198" s="92" t="s">
        <v>35</v>
      </c>
      <c r="K198" s="92" t="s">
        <v>25</v>
      </c>
      <c r="L198" s="93">
        <v>43475</v>
      </c>
      <c r="M198" s="94" t="s">
        <v>596</v>
      </c>
      <c r="N198" s="94"/>
      <c r="O198" s="48" t="s">
        <v>27</v>
      </c>
    </row>
    <row r="199" spans="1:17" customFormat="1">
      <c r="A199" s="53"/>
      <c r="B199" s="95" t="s">
        <v>649</v>
      </c>
      <c r="C199" s="77">
        <v>1</v>
      </c>
      <c r="D199" s="17" t="s">
        <v>650</v>
      </c>
      <c r="E199" s="16" t="s">
        <v>651</v>
      </c>
      <c r="F199" s="92">
        <v>30220201144</v>
      </c>
      <c r="G199" s="18" t="s">
        <v>652</v>
      </c>
      <c r="H199" s="36" t="s">
        <v>653</v>
      </c>
      <c r="I199" s="52"/>
      <c r="J199" s="92">
        <v>3568608</v>
      </c>
      <c r="K199" s="92" t="s">
        <v>25</v>
      </c>
      <c r="L199" s="93">
        <v>44678</v>
      </c>
      <c r="M199" s="94" t="s">
        <v>78</v>
      </c>
      <c r="N199" s="94"/>
      <c r="O199" s="48" t="s">
        <v>27</v>
      </c>
    </row>
    <row r="200" spans="1:17" customFormat="1">
      <c r="A200" s="53"/>
      <c r="B200" s="95" t="s">
        <v>521</v>
      </c>
      <c r="C200" s="77">
        <v>2</v>
      </c>
      <c r="D200" s="16" t="s">
        <v>131</v>
      </c>
      <c r="E200" s="16" t="s">
        <v>522</v>
      </c>
      <c r="F200" s="92" t="s">
        <v>15</v>
      </c>
      <c r="G200" s="18" t="s">
        <v>524</v>
      </c>
      <c r="H200" s="18" t="s">
        <v>14</v>
      </c>
      <c r="I200" s="18"/>
      <c r="J200" s="92" t="s">
        <v>15</v>
      </c>
      <c r="K200" s="92"/>
      <c r="L200" s="93">
        <v>44655</v>
      </c>
      <c r="M200" s="94" t="s">
        <v>78</v>
      </c>
      <c r="N200" s="94"/>
      <c r="O200" s="48" t="s">
        <v>17</v>
      </c>
    </row>
    <row r="201" spans="1:17" customFormat="1" ht="15.75" customHeight="1">
      <c r="A201" s="53"/>
      <c r="B201" s="96" t="s">
        <v>654</v>
      </c>
      <c r="C201" s="78">
        <v>1</v>
      </c>
      <c r="D201" s="27" t="s">
        <v>131</v>
      </c>
      <c r="E201" s="27" t="s">
        <v>353</v>
      </c>
      <c r="F201" s="64" t="s">
        <v>35</v>
      </c>
      <c r="G201" s="26" t="s">
        <v>655</v>
      </c>
      <c r="H201" s="26" t="s">
        <v>656</v>
      </c>
      <c r="I201" s="26" t="s">
        <v>657</v>
      </c>
      <c r="J201" s="64">
        <v>3573192</v>
      </c>
      <c r="K201" s="64" t="s">
        <v>38</v>
      </c>
      <c r="L201" s="82">
        <v>44389</v>
      </c>
      <c r="M201" s="83" t="s">
        <v>658</v>
      </c>
      <c r="N201" s="83"/>
      <c r="O201" s="30" t="s">
        <v>27</v>
      </c>
    </row>
    <row r="202" spans="1:17" customFormat="1">
      <c r="A202" s="53"/>
      <c r="B202" s="96" t="s">
        <v>654</v>
      </c>
      <c r="C202" s="78">
        <v>1</v>
      </c>
      <c r="D202" s="27" t="s">
        <v>131</v>
      </c>
      <c r="E202" s="27" t="s">
        <v>353</v>
      </c>
      <c r="F202" s="64" t="s">
        <v>35</v>
      </c>
      <c r="G202" s="97" t="s">
        <v>659</v>
      </c>
      <c r="H202" s="98" t="s">
        <v>660</v>
      </c>
      <c r="I202" s="52"/>
      <c r="J202" s="64"/>
      <c r="K202" s="64" t="s">
        <v>38</v>
      </c>
      <c r="L202" s="99">
        <v>45179</v>
      </c>
      <c r="M202" s="83" t="s">
        <v>661</v>
      </c>
      <c r="N202" s="83"/>
      <c r="O202" s="30" t="s">
        <v>27</v>
      </c>
    </row>
    <row r="203" spans="1:17" customFormat="1">
      <c r="A203" s="53"/>
      <c r="B203" s="79" t="s">
        <v>662</v>
      </c>
      <c r="C203" s="27">
        <v>1</v>
      </c>
      <c r="D203" s="27" t="s">
        <v>131</v>
      </c>
      <c r="E203" s="27" t="s">
        <v>353</v>
      </c>
      <c r="F203" s="26" t="s">
        <v>35</v>
      </c>
      <c r="G203" s="97" t="s">
        <v>663</v>
      </c>
      <c r="H203" s="26" t="s">
        <v>664</v>
      </c>
      <c r="I203" s="26" t="s">
        <v>665</v>
      </c>
      <c r="J203" s="26">
        <v>3573191</v>
      </c>
      <c r="K203" s="26" t="s">
        <v>38</v>
      </c>
      <c r="L203" s="100">
        <v>44389</v>
      </c>
      <c r="M203" s="35" t="s">
        <v>658</v>
      </c>
      <c r="N203" s="35"/>
      <c r="O203" s="30" t="s">
        <v>27</v>
      </c>
    </row>
    <row r="204" spans="1:17" customFormat="1">
      <c r="A204" s="53"/>
      <c r="B204" s="79" t="s">
        <v>662</v>
      </c>
      <c r="C204" s="27">
        <v>1</v>
      </c>
      <c r="D204" s="27" t="s">
        <v>131</v>
      </c>
      <c r="E204" s="27" t="s">
        <v>353</v>
      </c>
      <c r="F204" s="26" t="s">
        <v>35</v>
      </c>
      <c r="G204" s="97" t="s">
        <v>666</v>
      </c>
      <c r="H204" s="98" t="s">
        <v>667</v>
      </c>
      <c r="I204" s="52"/>
      <c r="J204" s="26"/>
      <c r="K204" s="26" t="s">
        <v>38</v>
      </c>
      <c r="L204" s="100">
        <v>45179</v>
      </c>
      <c r="M204" s="35" t="s">
        <v>661</v>
      </c>
      <c r="N204" s="35"/>
      <c r="O204" s="30" t="s">
        <v>27</v>
      </c>
    </row>
    <row r="205" spans="1:17" customFormat="1">
      <c r="A205" s="53"/>
      <c r="B205" s="79" t="s">
        <v>668</v>
      </c>
      <c r="C205" s="27">
        <v>1</v>
      </c>
      <c r="D205" s="27" t="s">
        <v>131</v>
      </c>
      <c r="E205" s="27" t="s">
        <v>353</v>
      </c>
      <c r="F205" s="26" t="s">
        <v>35</v>
      </c>
      <c r="G205" s="97" t="s">
        <v>669</v>
      </c>
      <c r="H205" s="26" t="s">
        <v>670</v>
      </c>
      <c r="I205" s="26" t="s">
        <v>671</v>
      </c>
      <c r="J205" s="26">
        <v>3573190</v>
      </c>
      <c r="K205" s="26" t="s">
        <v>38</v>
      </c>
      <c r="L205" s="100">
        <v>44389</v>
      </c>
      <c r="M205" s="35" t="s">
        <v>658</v>
      </c>
      <c r="N205" s="35"/>
      <c r="O205" s="30" t="s">
        <v>27</v>
      </c>
    </row>
    <row r="206" spans="1:17" customFormat="1">
      <c r="A206" s="53"/>
      <c r="B206" s="101" t="s">
        <v>672</v>
      </c>
      <c r="C206" s="27">
        <v>8</v>
      </c>
      <c r="D206" s="27" t="s">
        <v>673</v>
      </c>
      <c r="E206" s="27"/>
      <c r="F206" s="26"/>
      <c r="G206" s="97" t="s">
        <v>449</v>
      </c>
      <c r="H206" s="102" t="s">
        <v>674</v>
      </c>
      <c r="I206" s="52"/>
      <c r="J206" s="26"/>
      <c r="K206" s="26" t="s">
        <v>38</v>
      </c>
      <c r="L206" s="100">
        <v>44572</v>
      </c>
      <c r="M206" s="35" t="s">
        <v>658</v>
      </c>
      <c r="N206" s="35"/>
      <c r="O206" s="30" t="s">
        <v>27</v>
      </c>
    </row>
    <row r="207" spans="1:17" customFormat="1">
      <c r="A207" s="16"/>
      <c r="B207" s="79" t="s">
        <v>675</v>
      </c>
      <c r="C207" s="27">
        <v>1</v>
      </c>
      <c r="D207" s="27" t="s">
        <v>131</v>
      </c>
      <c r="E207" s="27" t="s">
        <v>353</v>
      </c>
      <c r="F207" s="26" t="s">
        <v>35</v>
      </c>
      <c r="G207" s="97" t="s">
        <v>676</v>
      </c>
      <c r="H207" s="98" t="s">
        <v>677</v>
      </c>
      <c r="I207" s="52"/>
      <c r="J207" s="26"/>
      <c r="K207" s="26" t="s">
        <v>38</v>
      </c>
      <c r="L207" s="100">
        <v>45179</v>
      </c>
      <c r="M207" s="35" t="s">
        <v>661</v>
      </c>
      <c r="N207" s="35"/>
      <c r="O207" s="30" t="s">
        <v>27</v>
      </c>
      <c r="Q207" s="1"/>
    </row>
    <row r="208" spans="1:17" customFormat="1">
      <c r="A208" s="16">
        <v>35</v>
      </c>
      <c r="B208" s="15" t="s">
        <v>678</v>
      </c>
      <c r="C208" s="16">
        <v>4</v>
      </c>
      <c r="D208" s="16" t="s">
        <v>35</v>
      </c>
      <c r="E208" s="16" t="s">
        <v>35</v>
      </c>
      <c r="F208" s="18" t="s">
        <v>35</v>
      </c>
      <c r="G208" s="18" t="s">
        <v>35</v>
      </c>
      <c r="H208" s="18" t="s">
        <v>679</v>
      </c>
      <c r="I208" s="18" t="s">
        <v>35</v>
      </c>
      <c r="J208" s="18" t="s">
        <v>35</v>
      </c>
      <c r="K208" s="18"/>
      <c r="L208" s="19">
        <v>43475</v>
      </c>
      <c r="M208" s="51" t="s">
        <v>680</v>
      </c>
      <c r="N208" s="51"/>
      <c r="O208" s="48" t="s">
        <v>27</v>
      </c>
      <c r="Q208" s="1"/>
    </row>
    <row r="209" spans="1:17" customFormat="1">
      <c r="A209" s="16">
        <v>83</v>
      </c>
      <c r="B209" s="15" t="s">
        <v>681</v>
      </c>
      <c r="C209" s="16">
        <v>1</v>
      </c>
      <c r="D209" s="16" t="s">
        <v>682</v>
      </c>
      <c r="E209" s="16" t="s">
        <v>35</v>
      </c>
      <c r="F209" s="18" t="s">
        <v>35</v>
      </c>
      <c r="G209" s="18">
        <v>500207510145</v>
      </c>
      <c r="H209" s="18" t="s">
        <v>683</v>
      </c>
      <c r="I209" s="18" t="s">
        <v>684</v>
      </c>
      <c r="J209" s="18">
        <v>3476743</v>
      </c>
      <c r="K209" s="18" t="s">
        <v>25</v>
      </c>
      <c r="L209" s="19">
        <v>43475</v>
      </c>
      <c r="M209" s="51" t="s">
        <v>685</v>
      </c>
      <c r="N209" s="51"/>
      <c r="O209" s="48" t="s">
        <v>27</v>
      </c>
      <c r="Q209" s="1"/>
    </row>
    <row r="210" spans="1:17" ht="24.75" customHeight="1">
      <c r="A210" s="16">
        <v>86</v>
      </c>
      <c r="B210" s="15" t="s">
        <v>686</v>
      </c>
      <c r="C210" s="16">
        <v>2</v>
      </c>
      <c r="D210" s="18" t="s">
        <v>15</v>
      </c>
      <c r="E210" s="18" t="s">
        <v>15</v>
      </c>
      <c r="F210" s="18" t="s">
        <v>15</v>
      </c>
      <c r="G210" s="18" t="s">
        <v>15</v>
      </c>
      <c r="H210" s="18"/>
      <c r="I210" s="18" t="s">
        <v>15</v>
      </c>
      <c r="J210" s="18" t="s">
        <v>15</v>
      </c>
      <c r="K210" s="18"/>
      <c r="L210" s="19">
        <v>43475</v>
      </c>
      <c r="M210" s="48" t="s">
        <v>15</v>
      </c>
      <c r="N210" s="48"/>
      <c r="O210" s="48" t="s">
        <v>17</v>
      </c>
    </row>
    <row r="211" spans="1:17" customFormat="1" outlineLevel="1">
      <c r="A211" s="27"/>
      <c r="B211" s="27" t="s">
        <v>686</v>
      </c>
      <c r="C211" s="27">
        <v>1</v>
      </c>
      <c r="D211" s="27" t="s">
        <v>35</v>
      </c>
      <c r="E211" s="27" t="s">
        <v>687</v>
      </c>
      <c r="F211" s="26" t="s">
        <v>35</v>
      </c>
      <c r="G211" s="26">
        <v>500207510417</v>
      </c>
      <c r="H211" s="26" t="s">
        <v>688</v>
      </c>
      <c r="I211" s="52" t="s">
        <v>689</v>
      </c>
      <c r="J211" s="26">
        <v>3476734</v>
      </c>
      <c r="K211" s="26" t="s">
        <v>25</v>
      </c>
      <c r="L211" s="33">
        <v>43475</v>
      </c>
      <c r="M211" s="35" t="s">
        <v>26</v>
      </c>
      <c r="N211" s="35"/>
      <c r="O211" s="30" t="s">
        <v>27</v>
      </c>
      <c r="Q211" s="1"/>
    </row>
    <row r="212" spans="1:17" customFormat="1" outlineLevel="1">
      <c r="A212" s="27"/>
      <c r="B212" s="27" t="s">
        <v>686</v>
      </c>
      <c r="C212" s="27">
        <v>1</v>
      </c>
      <c r="D212" s="27" t="s">
        <v>35</v>
      </c>
      <c r="E212" s="27" t="s">
        <v>687</v>
      </c>
      <c r="F212" s="26" t="s">
        <v>35</v>
      </c>
      <c r="G212" s="26">
        <v>500207510408</v>
      </c>
      <c r="H212" s="26" t="s">
        <v>690</v>
      </c>
      <c r="I212" s="26" t="s">
        <v>691</v>
      </c>
      <c r="J212" s="26">
        <v>3476735</v>
      </c>
      <c r="K212" s="26" t="s">
        <v>25</v>
      </c>
      <c r="L212" s="33">
        <v>43475</v>
      </c>
      <c r="M212" s="35" t="s">
        <v>685</v>
      </c>
      <c r="N212" s="35"/>
      <c r="O212" s="30" t="s">
        <v>27</v>
      </c>
      <c r="Q212" s="1"/>
    </row>
    <row r="213" spans="1:17" customFormat="1">
      <c r="A213" s="16"/>
      <c r="B213" s="15" t="s">
        <v>692</v>
      </c>
      <c r="C213" s="16">
        <v>2</v>
      </c>
      <c r="D213" s="16" t="s">
        <v>693</v>
      </c>
      <c r="E213" s="16">
        <v>201</v>
      </c>
      <c r="F213" s="49" t="s">
        <v>15</v>
      </c>
      <c r="G213" s="49" t="s">
        <v>694</v>
      </c>
      <c r="H213" s="18"/>
      <c r="I213" s="18" t="s">
        <v>15</v>
      </c>
      <c r="J213" s="49" t="s">
        <v>35</v>
      </c>
      <c r="K213" s="18"/>
      <c r="L213" s="50">
        <v>43991</v>
      </c>
      <c r="M213" s="51" t="s">
        <v>90</v>
      </c>
      <c r="N213" s="51"/>
      <c r="O213" s="48" t="s">
        <v>17</v>
      </c>
      <c r="Q213" s="1"/>
    </row>
    <row r="214" spans="1:17" customFormat="1" outlineLevel="1">
      <c r="A214" s="27"/>
      <c r="B214" s="27" t="s">
        <v>692</v>
      </c>
      <c r="C214" s="27">
        <v>1</v>
      </c>
      <c r="D214" s="27" t="s">
        <v>693</v>
      </c>
      <c r="E214" s="27">
        <v>201</v>
      </c>
      <c r="F214" s="26" t="s">
        <v>695</v>
      </c>
      <c r="G214" s="26">
        <v>500207510407</v>
      </c>
      <c r="H214" s="55" t="s">
        <v>696</v>
      </c>
      <c r="I214" s="55" t="s">
        <v>697</v>
      </c>
      <c r="J214" s="26">
        <v>3470910</v>
      </c>
      <c r="K214" s="26" t="s">
        <v>25</v>
      </c>
      <c r="L214" s="33">
        <v>43991</v>
      </c>
      <c r="M214" s="35" t="s">
        <v>90</v>
      </c>
      <c r="N214" s="35"/>
      <c r="O214" s="30" t="s">
        <v>27</v>
      </c>
      <c r="Q214" s="1"/>
    </row>
    <row r="215" spans="1:17" customFormat="1" outlineLevel="1">
      <c r="A215" s="27"/>
      <c r="B215" s="27" t="s">
        <v>692</v>
      </c>
      <c r="C215" s="27">
        <v>1</v>
      </c>
      <c r="D215" s="27" t="s">
        <v>693</v>
      </c>
      <c r="E215" s="27">
        <v>201</v>
      </c>
      <c r="F215" s="26" t="s">
        <v>698</v>
      </c>
      <c r="G215" s="26">
        <v>500207510406</v>
      </c>
      <c r="H215" s="55" t="s">
        <v>699</v>
      </c>
      <c r="I215" s="55" t="s">
        <v>700</v>
      </c>
      <c r="J215" s="26">
        <v>3470909</v>
      </c>
      <c r="K215" s="26" t="s">
        <v>25</v>
      </c>
      <c r="L215" s="33">
        <v>43991</v>
      </c>
      <c r="M215" s="35" t="s">
        <v>90</v>
      </c>
      <c r="N215" s="35"/>
      <c r="O215" s="30" t="s">
        <v>27</v>
      </c>
      <c r="Q215" s="1"/>
    </row>
    <row r="216" spans="1:17" customFormat="1">
      <c r="A216" s="16"/>
      <c r="B216" s="15" t="s">
        <v>701</v>
      </c>
      <c r="C216" s="16">
        <v>2</v>
      </c>
      <c r="D216" s="16" t="s">
        <v>702</v>
      </c>
      <c r="E216" s="16" t="s">
        <v>703</v>
      </c>
      <c r="F216" s="49" t="s">
        <v>15</v>
      </c>
      <c r="G216" s="49" t="s">
        <v>704</v>
      </c>
      <c r="H216" s="18"/>
      <c r="I216" s="18" t="s">
        <v>15</v>
      </c>
      <c r="J216" s="49" t="s">
        <v>35</v>
      </c>
      <c r="K216" s="18"/>
      <c r="L216" s="50">
        <v>43831</v>
      </c>
      <c r="M216" s="51" t="s">
        <v>38</v>
      </c>
      <c r="N216" s="51"/>
      <c r="O216" s="48" t="s">
        <v>17</v>
      </c>
      <c r="Q216" s="1"/>
    </row>
    <row r="217" spans="1:17" customFormat="1">
      <c r="A217" s="72"/>
      <c r="B217" s="15" t="s">
        <v>705</v>
      </c>
      <c r="C217" s="16">
        <v>1</v>
      </c>
      <c r="D217" s="16" t="s">
        <v>706</v>
      </c>
      <c r="E217" s="16" t="s">
        <v>707</v>
      </c>
      <c r="F217" s="18">
        <v>2204004</v>
      </c>
      <c r="G217" s="49" t="s">
        <v>35</v>
      </c>
      <c r="H217" s="18" t="s">
        <v>708</v>
      </c>
      <c r="I217" s="18" t="s">
        <v>709</v>
      </c>
      <c r="J217" s="49">
        <v>3476749</v>
      </c>
      <c r="K217" s="18" t="s">
        <v>25</v>
      </c>
      <c r="L217" s="50">
        <v>43475</v>
      </c>
      <c r="M217" s="51" t="s">
        <v>710</v>
      </c>
      <c r="N217" s="51"/>
      <c r="O217" s="48" t="s">
        <v>27</v>
      </c>
      <c r="Q217" s="1"/>
    </row>
    <row r="218" spans="1:17" customFormat="1">
      <c r="A218" s="16">
        <v>90</v>
      </c>
      <c r="B218" s="15" t="s">
        <v>711</v>
      </c>
      <c r="C218" s="16">
        <v>1</v>
      </c>
      <c r="D218" s="16" t="s">
        <v>712</v>
      </c>
      <c r="E218" s="16">
        <v>19032</v>
      </c>
      <c r="F218" s="18" t="s">
        <v>713</v>
      </c>
      <c r="G218" s="49">
        <v>500207510409</v>
      </c>
      <c r="H218" s="18"/>
      <c r="I218" s="52" t="s">
        <v>714</v>
      </c>
      <c r="J218" s="49">
        <v>3476748</v>
      </c>
      <c r="K218" s="18" t="s">
        <v>38</v>
      </c>
      <c r="L218" s="50">
        <v>43475</v>
      </c>
      <c r="M218" s="51" t="s">
        <v>433</v>
      </c>
      <c r="N218" s="51"/>
      <c r="O218" s="48" t="s">
        <v>27</v>
      </c>
      <c r="Q218" s="1"/>
    </row>
    <row r="219" spans="1:17" customFormat="1">
      <c r="A219" s="16"/>
      <c r="B219" s="15" t="s">
        <v>715</v>
      </c>
      <c r="C219" s="16">
        <v>1</v>
      </c>
      <c r="D219" s="16" t="s">
        <v>716</v>
      </c>
      <c r="E219" s="16" t="s">
        <v>717</v>
      </c>
      <c r="F219" s="18">
        <v>1327220</v>
      </c>
      <c r="G219" s="18" t="s">
        <v>718</v>
      </c>
      <c r="H219" s="18" t="s">
        <v>719</v>
      </c>
      <c r="I219" s="18" t="s">
        <v>720</v>
      </c>
      <c r="J219" s="18">
        <v>3472057</v>
      </c>
      <c r="K219" s="18" t="s">
        <v>38</v>
      </c>
      <c r="L219" s="19">
        <v>43927</v>
      </c>
      <c r="M219" s="51" t="s">
        <v>433</v>
      </c>
      <c r="N219" s="51"/>
      <c r="O219" s="48" t="s">
        <v>27</v>
      </c>
      <c r="Q219" s="1"/>
    </row>
    <row r="220" spans="1:17" customFormat="1">
      <c r="A220" s="53"/>
      <c r="B220" s="15" t="s">
        <v>721</v>
      </c>
      <c r="C220" s="16">
        <v>1</v>
      </c>
      <c r="D220" s="16" t="s">
        <v>19</v>
      </c>
      <c r="E220" s="16" t="s">
        <v>15</v>
      </c>
      <c r="F220" s="46" t="s">
        <v>15</v>
      </c>
      <c r="G220" s="18" t="s">
        <v>22</v>
      </c>
      <c r="H220" s="36" t="s">
        <v>722</v>
      </c>
      <c r="I220" s="52" t="s">
        <v>15</v>
      </c>
      <c r="J220" s="18"/>
      <c r="K220" s="18" t="s">
        <v>25</v>
      </c>
      <c r="L220" s="19">
        <v>44914</v>
      </c>
      <c r="M220" s="51" t="s">
        <v>117</v>
      </c>
      <c r="N220" s="51"/>
      <c r="O220" s="48" t="s">
        <v>27</v>
      </c>
      <c r="Q220" s="6"/>
    </row>
    <row r="221" spans="1:17" customFormat="1" ht="15.75" customHeight="1">
      <c r="A221" s="53"/>
      <c r="B221" s="15" t="s">
        <v>721</v>
      </c>
      <c r="C221" s="16">
        <v>1</v>
      </c>
      <c r="D221" s="16" t="s">
        <v>19</v>
      </c>
      <c r="E221" s="16" t="s">
        <v>15</v>
      </c>
      <c r="F221" s="46" t="s">
        <v>15</v>
      </c>
      <c r="G221" s="18" t="s">
        <v>46</v>
      </c>
      <c r="H221" s="17" t="s">
        <v>723</v>
      </c>
      <c r="I221" s="52" t="s">
        <v>15</v>
      </c>
      <c r="J221" s="18"/>
      <c r="K221" s="18" t="s">
        <v>25</v>
      </c>
      <c r="L221" s="19">
        <v>45213</v>
      </c>
      <c r="M221" s="51" t="s">
        <v>117</v>
      </c>
      <c r="N221" s="51"/>
      <c r="O221" s="48" t="s">
        <v>27</v>
      </c>
      <c r="Q221" s="1"/>
    </row>
    <row r="222" spans="1:17" customFormat="1" ht="17.25" customHeight="1">
      <c r="A222" s="103"/>
      <c r="B222" s="27" t="s">
        <v>99</v>
      </c>
      <c r="C222" s="27">
        <v>1</v>
      </c>
      <c r="D222" s="27" t="s">
        <v>244</v>
      </c>
      <c r="E222" s="27" t="s">
        <v>724</v>
      </c>
      <c r="F222" s="31" t="s">
        <v>725</v>
      </c>
      <c r="G222" s="26" t="s">
        <v>35</v>
      </c>
      <c r="H222" s="26" t="s">
        <v>726</v>
      </c>
      <c r="I222" s="26" t="s">
        <v>727</v>
      </c>
      <c r="J222" s="26" t="s">
        <v>35</v>
      </c>
      <c r="K222" s="26" t="s">
        <v>25</v>
      </c>
      <c r="L222" s="33">
        <v>43475</v>
      </c>
      <c r="M222" s="35" t="s">
        <v>728</v>
      </c>
      <c r="N222" s="35"/>
      <c r="O222" s="30" t="s">
        <v>27</v>
      </c>
      <c r="Q222" s="1"/>
    </row>
    <row r="223" spans="1:17" customFormat="1">
      <c r="A223" s="103"/>
      <c r="B223" s="27" t="s">
        <v>99</v>
      </c>
      <c r="C223" s="27">
        <v>1</v>
      </c>
      <c r="D223" s="27" t="s">
        <v>244</v>
      </c>
      <c r="E223" s="27" t="s">
        <v>724</v>
      </c>
      <c r="F223" s="31" t="s">
        <v>729</v>
      </c>
      <c r="G223" s="26" t="s">
        <v>35</v>
      </c>
      <c r="H223" s="26" t="s">
        <v>730</v>
      </c>
      <c r="I223" s="26" t="s">
        <v>731</v>
      </c>
      <c r="J223" s="26" t="s">
        <v>35</v>
      </c>
      <c r="K223" s="26" t="s">
        <v>25</v>
      </c>
      <c r="L223" s="33">
        <v>43475</v>
      </c>
      <c r="M223" s="35" t="s">
        <v>565</v>
      </c>
      <c r="N223" s="35"/>
      <c r="O223" s="30" t="s">
        <v>27</v>
      </c>
      <c r="Q223" s="1"/>
    </row>
    <row r="224" spans="1:17" customFormat="1">
      <c r="A224" s="103"/>
      <c r="B224" s="27" t="s">
        <v>99</v>
      </c>
      <c r="C224" s="27">
        <v>1</v>
      </c>
      <c r="D224" s="27" t="s">
        <v>244</v>
      </c>
      <c r="E224" s="27" t="s">
        <v>724</v>
      </c>
      <c r="F224" s="31" t="s">
        <v>732</v>
      </c>
      <c r="G224" s="26" t="s">
        <v>35</v>
      </c>
      <c r="H224" s="26" t="s">
        <v>733</v>
      </c>
      <c r="I224" s="26" t="s">
        <v>734</v>
      </c>
      <c r="J224" s="26" t="s">
        <v>35</v>
      </c>
      <c r="K224" s="26" t="s">
        <v>25</v>
      </c>
      <c r="L224" s="33">
        <v>43475</v>
      </c>
      <c r="M224" s="35" t="s">
        <v>117</v>
      </c>
      <c r="N224" s="35"/>
      <c r="O224" s="30" t="s">
        <v>27</v>
      </c>
      <c r="Q224" s="1"/>
    </row>
    <row r="225" spans="1:17" customFormat="1">
      <c r="A225" s="103"/>
      <c r="B225" s="27" t="s">
        <v>99</v>
      </c>
      <c r="C225" s="27">
        <v>1</v>
      </c>
      <c r="D225" s="27" t="s">
        <v>244</v>
      </c>
      <c r="E225" s="27" t="s">
        <v>724</v>
      </c>
      <c r="F225" s="31" t="s">
        <v>735</v>
      </c>
      <c r="G225" s="26" t="s">
        <v>35</v>
      </c>
      <c r="H225" s="26" t="s">
        <v>736</v>
      </c>
      <c r="I225" s="26" t="s">
        <v>737</v>
      </c>
      <c r="J225" s="26" t="s">
        <v>35</v>
      </c>
      <c r="K225" s="26" t="s">
        <v>25</v>
      </c>
      <c r="L225" s="33">
        <v>43475</v>
      </c>
      <c r="M225" s="35" t="s">
        <v>117</v>
      </c>
      <c r="N225" s="35"/>
      <c r="O225" s="30" t="s">
        <v>27</v>
      </c>
      <c r="Q225" s="1"/>
    </row>
    <row r="226" spans="1:17" customFormat="1">
      <c r="A226" s="103"/>
      <c r="B226" s="27" t="s">
        <v>99</v>
      </c>
      <c r="C226" s="27">
        <v>1</v>
      </c>
      <c r="D226" s="27" t="s">
        <v>244</v>
      </c>
      <c r="E226" s="27" t="s">
        <v>724</v>
      </c>
      <c r="F226" s="31" t="s">
        <v>738</v>
      </c>
      <c r="G226" s="26" t="s">
        <v>35</v>
      </c>
      <c r="H226" s="26" t="s">
        <v>739</v>
      </c>
      <c r="I226" s="26" t="s">
        <v>740</v>
      </c>
      <c r="J226" s="26" t="s">
        <v>35</v>
      </c>
      <c r="K226" s="26" t="s">
        <v>25</v>
      </c>
      <c r="L226" s="33">
        <v>43475</v>
      </c>
      <c r="M226" s="35" t="s">
        <v>117</v>
      </c>
      <c r="N226" s="35"/>
      <c r="O226" s="30" t="s">
        <v>27</v>
      </c>
      <c r="Q226" s="1"/>
    </row>
    <row r="227" spans="1:17" customFormat="1">
      <c r="A227" s="103"/>
      <c r="B227" s="27" t="s">
        <v>99</v>
      </c>
      <c r="C227" s="27">
        <v>1</v>
      </c>
      <c r="D227" s="27" t="s">
        <v>244</v>
      </c>
      <c r="E227" s="27" t="s">
        <v>724</v>
      </c>
      <c r="F227" s="31" t="s">
        <v>741</v>
      </c>
      <c r="G227" s="26" t="s">
        <v>35</v>
      </c>
      <c r="H227" s="26" t="s">
        <v>742</v>
      </c>
      <c r="I227" s="26" t="s">
        <v>743</v>
      </c>
      <c r="J227" s="26" t="s">
        <v>35</v>
      </c>
      <c r="K227" s="26" t="s">
        <v>25</v>
      </c>
      <c r="L227" s="33">
        <v>43475</v>
      </c>
      <c r="M227" s="35" t="s">
        <v>117</v>
      </c>
      <c r="N227" s="35"/>
      <c r="O227" s="30" t="s">
        <v>27</v>
      </c>
      <c r="Q227" s="1"/>
    </row>
    <row r="228" spans="1:17" customFormat="1">
      <c r="A228" s="103"/>
      <c r="B228" s="27" t="s">
        <v>99</v>
      </c>
      <c r="C228" s="27">
        <v>1</v>
      </c>
      <c r="D228" s="27" t="s">
        <v>244</v>
      </c>
      <c r="E228" s="27" t="s">
        <v>724</v>
      </c>
      <c r="F228" s="31" t="s">
        <v>744</v>
      </c>
      <c r="G228" s="26" t="s">
        <v>35</v>
      </c>
      <c r="H228" s="26" t="s">
        <v>745</v>
      </c>
      <c r="I228" s="26" t="s">
        <v>746</v>
      </c>
      <c r="J228" s="26" t="s">
        <v>35</v>
      </c>
      <c r="K228" s="26" t="s">
        <v>25</v>
      </c>
      <c r="L228" s="33">
        <v>43475</v>
      </c>
      <c r="M228" s="35" t="s">
        <v>117</v>
      </c>
      <c r="N228" s="35"/>
      <c r="O228" s="30" t="s">
        <v>27</v>
      </c>
      <c r="Q228" s="1"/>
    </row>
    <row r="229" spans="1:17" customFormat="1">
      <c r="A229" s="103"/>
      <c r="B229" s="27" t="s">
        <v>99</v>
      </c>
      <c r="C229" s="27">
        <v>1</v>
      </c>
      <c r="D229" s="27" t="s">
        <v>244</v>
      </c>
      <c r="E229" s="27" t="s">
        <v>724</v>
      </c>
      <c r="F229" s="31" t="s">
        <v>747</v>
      </c>
      <c r="G229" s="26" t="s">
        <v>35</v>
      </c>
      <c r="H229" s="26" t="s">
        <v>748</v>
      </c>
      <c r="I229" s="26" t="s">
        <v>749</v>
      </c>
      <c r="J229" s="26" t="s">
        <v>35</v>
      </c>
      <c r="K229" s="26" t="s">
        <v>25</v>
      </c>
      <c r="L229" s="33">
        <v>43475</v>
      </c>
      <c r="M229" s="35" t="s">
        <v>117</v>
      </c>
      <c r="N229" s="35"/>
      <c r="O229" s="30" t="s">
        <v>27</v>
      </c>
      <c r="Q229" s="1"/>
    </row>
    <row r="230" spans="1:17" customFormat="1">
      <c r="A230" s="103"/>
      <c r="B230" s="27" t="s">
        <v>99</v>
      </c>
      <c r="C230" s="27">
        <v>1</v>
      </c>
      <c r="D230" s="27" t="s">
        <v>244</v>
      </c>
      <c r="E230" s="27" t="s">
        <v>724</v>
      </c>
      <c r="F230" s="31" t="s">
        <v>750</v>
      </c>
      <c r="G230" s="26" t="s">
        <v>35</v>
      </c>
      <c r="H230" s="26" t="s">
        <v>751</v>
      </c>
      <c r="I230" s="26" t="s">
        <v>752</v>
      </c>
      <c r="J230" s="26" t="s">
        <v>35</v>
      </c>
      <c r="K230" s="26" t="s">
        <v>25</v>
      </c>
      <c r="L230" s="33">
        <v>43475</v>
      </c>
      <c r="M230" s="35" t="s">
        <v>117</v>
      </c>
      <c r="N230" s="35"/>
      <c r="O230" s="30" t="s">
        <v>27</v>
      </c>
      <c r="Q230" s="1"/>
    </row>
    <row r="231" spans="1:17" customFormat="1">
      <c r="A231" s="103"/>
      <c r="B231" s="27" t="s">
        <v>99</v>
      </c>
      <c r="C231" s="27">
        <v>1</v>
      </c>
      <c r="D231" s="27" t="s">
        <v>244</v>
      </c>
      <c r="E231" s="27" t="s">
        <v>724</v>
      </c>
      <c r="F231" s="31" t="s">
        <v>753</v>
      </c>
      <c r="G231" s="26" t="s">
        <v>35</v>
      </c>
      <c r="H231" s="26" t="s">
        <v>754</v>
      </c>
      <c r="I231" s="26" t="s">
        <v>755</v>
      </c>
      <c r="J231" s="26" t="s">
        <v>35</v>
      </c>
      <c r="K231" s="26" t="s">
        <v>25</v>
      </c>
      <c r="L231" s="33">
        <v>43475</v>
      </c>
      <c r="M231" s="35" t="s">
        <v>117</v>
      </c>
      <c r="N231" s="35"/>
      <c r="O231" s="30" t="s">
        <v>27</v>
      </c>
      <c r="Q231" s="1"/>
    </row>
    <row r="232" spans="1:17" customFormat="1">
      <c r="A232" s="103"/>
      <c r="B232" s="27" t="s">
        <v>99</v>
      </c>
      <c r="C232" s="27">
        <v>1</v>
      </c>
      <c r="D232" s="27" t="s">
        <v>244</v>
      </c>
      <c r="E232" s="27" t="s">
        <v>724</v>
      </c>
      <c r="F232" s="31" t="s">
        <v>756</v>
      </c>
      <c r="G232" s="26" t="s">
        <v>35</v>
      </c>
      <c r="H232" s="26" t="s">
        <v>757</v>
      </c>
      <c r="I232" s="26" t="s">
        <v>758</v>
      </c>
      <c r="J232" s="26" t="s">
        <v>35</v>
      </c>
      <c r="K232" s="26" t="s">
        <v>25</v>
      </c>
      <c r="L232" s="33">
        <v>43475</v>
      </c>
      <c r="M232" s="35" t="s">
        <v>117</v>
      </c>
      <c r="N232" s="35"/>
      <c r="O232" s="30" t="s">
        <v>27</v>
      </c>
      <c r="Q232" s="1"/>
    </row>
    <row r="233" spans="1:17" customFormat="1">
      <c r="A233" s="103"/>
      <c r="B233" s="27" t="s">
        <v>99</v>
      </c>
      <c r="C233" s="27">
        <v>1</v>
      </c>
      <c r="D233" s="27" t="s">
        <v>244</v>
      </c>
      <c r="E233" s="27" t="s">
        <v>724</v>
      </c>
      <c r="F233" s="31" t="s">
        <v>759</v>
      </c>
      <c r="G233" s="26" t="s">
        <v>35</v>
      </c>
      <c r="H233" s="26" t="s">
        <v>760</v>
      </c>
      <c r="I233" s="26" t="s">
        <v>761</v>
      </c>
      <c r="J233" s="26" t="s">
        <v>35</v>
      </c>
      <c r="K233" s="26" t="s">
        <v>25</v>
      </c>
      <c r="L233" s="33">
        <v>43475</v>
      </c>
      <c r="M233" s="35" t="s">
        <v>117</v>
      </c>
      <c r="N233" s="35"/>
      <c r="O233" s="30" t="s">
        <v>27</v>
      </c>
      <c r="Q233" s="1"/>
    </row>
    <row r="234" spans="1:17" customFormat="1">
      <c r="A234" s="53"/>
      <c r="B234" s="15" t="s">
        <v>762</v>
      </c>
      <c r="C234" s="16">
        <v>1</v>
      </c>
      <c r="D234" s="16" t="s">
        <v>763</v>
      </c>
      <c r="E234" s="16" t="s">
        <v>764</v>
      </c>
      <c r="F234" s="18" t="s">
        <v>765</v>
      </c>
      <c r="G234" s="18" t="s">
        <v>15</v>
      </c>
      <c r="H234" s="18" t="s">
        <v>766</v>
      </c>
      <c r="I234" s="18" t="s">
        <v>767</v>
      </c>
      <c r="J234" s="18" t="s">
        <v>15</v>
      </c>
      <c r="K234" s="18" t="s">
        <v>25</v>
      </c>
      <c r="L234" s="19">
        <v>43881</v>
      </c>
      <c r="M234" s="51" t="s">
        <v>117</v>
      </c>
      <c r="N234" s="51"/>
      <c r="O234" s="48" t="s">
        <v>27</v>
      </c>
      <c r="Q234" s="1"/>
    </row>
    <row r="235" spans="1:17" customFormat="1">
      <c r="A235" s="16"/>
      <c r="B235" s="15" t="s">
        <v>768</v>
      </c>
      <c r="C235" s="16">
        <v>5</v>
      </c>
      <c r="D235" s="16" t="s">
        <v>483</v>
      </c>
      <c r="E235" s="16" t="s">
        <v>769</v>
      </c>
      <c r="F235" s="18" t="s">
        <v>15</v>
      </c>
      <c r="G235" s="18" t="s">
        <v>770</v>
      </c>
      <c r="H235" s="18"/>
      <c r="I235" s="18" t="s">
        <v>15</v>
      </c>
      <c r="J235" s="18" t="s">
        <v>15</v>
      </c>
      <c r="K235" s="18"/>
      <c r="L235" s="19">
        <v>44558</v>
      </c>
      <c r="M235" s="51" t="s">
        <v>15</v>
      </c>
      <c r="N235" s="51"/>
      <c r="O235" s="48" t="s">
        <v>17</v>
      </c>
    </row>
    <row r="236" spans="1:17" customFormat="1" outlineLevel="1">
      <c r="A236" s="1"/>
      <c r="B236" s="27" t="s">
        <v>768</v>
      </c>
      <c r="C236" s="27">
        <v>1</v>
      </c>
      <c r="D236" s="27" t="s">
        <v>483</v>
      </c>
      <c r="E236" s="27" t="s">
        <v>769</v>
      </c>
      <c r="F236" s="26" t="s">
        <v>771</v>
      </c>
      <c r="G236" s="26" t="s">
        <v>770</v>
      </c>
      <c r="H236" s="26" t="s">
        <v>772</v>
      </c>
      <c r="I236" s="26" t="s">
        <v>773</v>
      </c>
      <c r="J236" s="26">
        <v>3573196</v>
      </c>
      <c r="K236" s="26" t="s">
        <v>38</v>
      </c>
      <c r="L236" s="33">
        <v>44558</v>
      </c>
      <c r="M236" s="35" t="s">
        <v>102</v>
      </c>
      <c r="N236" s="35"/>
      <c r="O236" s="30" t="s">
        <v>27</v>
      </c>
      <c r="Q236" s="6"/>
    </row>
    <row r="237" spans="1:17" customFormat="1" outlineLevel="1">
      <c r="A237" s="22"/>
      <c r="B237" s="27" t="s">
        <v>768</v>
      </c>
      <c r="C237" s="27">
        <v>1</v>
      </c>
      <c r="D237" s="27" t="s">
        <v>483</v>
      </c>
      <c r="E237" s="27" t="s">
        <v>769</v>
      </c>
      <c r="F237" s="26" t="s">
        <v>774</v>
      </c>
      <c r="G237" s="26" t="s">
        <v>770</v>
      </c>
      <c r="H237" s="26" t="s">
        <v>775</v>
      </c>
      <c r="I237" s="26" t="s">
        <v>776</v>
      </c>
      <c r="J237" s="26">
        <v>3573195</v>
      </c>
      <c r="K237" s="26" t="s">
        <v>38</v>
      </c>
      <c r="L237" s="33">
        <v>44558</v>
      </c>
      <c r="M237" s="35" t="s">
        <v>102</v>
      </c>
      <c r="N237" s="35"/>
      <c r="O237" s="30" t="s">
        <v>27</v>
      </c>
      <c r="Q237" s="6"/>
    </row>
    <row r="238" spans="1:17" customFormat="1" outlineLevel="1">
      <c r="A238" s="22"/>
      <c r="B238" s="27" t="s">
        <v>768</v>
      </c>
      <c r="C238" s="27">
        <v>1</v>
      </c>
      <c r="D238" s="27" t="s">
        <v>483</v>
      </c>
      <c r="E238" s="27" t="s">
        <v>769</v>
      </c>
      <c r="F238" s="26" t="s">
        <v>777</v>
      </c>
      <c r="G238" s="26" t="s">
        <v>770</v>
      </c>
      <c r="H238" s="26" t="s">
        <v>778</v>
      </c>
      <c r="I238" s="26" t="s">
        <v>779</v>
      </c>
      <c r="J238" s="24">
        <v>3573198</v>
      </c>
      <c r="K238" s="24" t="s">
        <v>38</v>
      </c>
      <c r="L238" s="33">
        <v>44558</v>
      </c>
      <c r="M238" s="35" t="s">
        <v>102</v>
      </c>
      <c r="N238" s="35"/>
      <c r="O238" s="30" t="s">
        <v>27</v>
      </c>
      <c r="Q238" s="6"/>
    </row>
    <row r="239" spans="1:17" customFormat="1" outlineLevel="1">
      <c r="A239" s="1"/>
      <c r="B239" s="27" t="s">
        <v>768</v>
      </c>
      <c r="C239" s="27">
        <v>1</v>
      </c>
      <c r="D239" s="27" t="s">
        <v>483</v>
      </c>
      <c r="E239" s="27" t="s">
        <v>769</v>
      </c>
      <c r="F239" s="26" t="s">
        <v>780</v>
      </c>
      <c r="G239" s="26" t="s">
        <v>770</v>
      </c>
      <c r="H239" s="26" t="s">
        <v>781</v>
      </c>
      <c r="I239" s="26" t="s">
        <v>782</v>
      </c>
      <c r="J239" s="26">
        <v>3573197</v>
      </c>
      <c r="K239" s="26" t="s">
        <v>38</v>
      </c>
      <c r="L239" s="33">
        <v>44558</v>
      </c>
      <c r="M239" s="35" t="s">
        <v>102</v>
      </c>
      <c r="N239" s="35"/>
      <c r="O239" s="30" t="s">
        <v>27</v>
      </c>
      <c r="Q239" s="1"/>
    </row>
    <row r="240" spans="1:17" customFormat="1" outlineLevel="1">
      <c r="A240" s="1"/>
      <c r="B240" s="27" t="s">
        <v>768</v>
      </c>
      <c r="C240" s="27">
        <v>1</v>
      </c>
      <c r="D240" s="27" t="s">
        <v>483</v>
      </c>
      <c r="E240" s="27" t="s">
        <v>769</v>
      </c>
      <c r="F240" s="26" t="s">
        <v>783</v>
      </c>
      <c r="G240" s="26" t="s">
        <v>770</v>
      </c>
      <c r="H240" s="26" t="s">
        <v>784</v>
      </c>
      <c r="I240" s="26" t="s">
        <v>785</v>
      </c>
      <c r="J240" s="26">
        <v>3573199</v>
      </c>
      <c r="K240" s="26" t="s">
        <v>38</v>
      </c>
      <c r="L240" s="33">
        <v>44558</v>
      </c>
      <c r="M240" s="35" t="s">
        <v>102</v>
      </c>
      <c r="N240" s="35"/>
      <c r="O240" s="30" t="s">
        <v>27</v>
      </c>
      <c r="Q240" s="1"/>
    </row>
    <row r="241" spans="1:17" customFormat="1">
      <c r="A241" s="103">
        <v>74</v>
      </c>
      <c r="B241" s="15" t="s">
        <v>786</v>
      </c>
      <c r="C241" s="16">
        <v>1</v>
      </c>
      <c r="D241" s="16" t="s">
        <v>787</v>
      </c>
      <c r="E241" s="16" t="s">
        <v>788</v>
      </c>
      <c r="F241" s="18" t="s">
        <v>789</v>
      </c>
      <c r="G241" s="18">
        <v>500204420493</v>
      </c>
      <c r="H241" s="18" t="s">
        <v>790</v>
      </c>
      <c r="I241" s="18" t="s">
        <v>791</v>
      </c>
      <c r="J241" s="18" t="s">
        <v>35</v>
      </c>
      <c r="K241" s="18" t="s">
        <v>38</v>
      </c>
      <c r="L241" s="19">
        <v>43475</v>
      </c>
      <c r="M241" s="51" t="s">
        <v>117</v>
      </c>
      <c r="N241" s="51"/>
      <c r="O241" s="48" t="s">
        <v>27</v>
      </c>
      <c r="Q241" s="1"/>
    </row>
    <row r="242" spans="1:17" customFormat="1">
      <c r="A242" s="1"/>
      <c r="B242" s="27" t="s">
        <v>792</v>
      </c>
      <c r="C242" s="27">
        <v>1</v>
      </c>
      <c r="D242" s="27" t="s">
        <v>793</v>
      </c>
      <c r="E242" s="27" t="s">
        <v>794</v>
      </c>
      <c r="F242" s="26" t="s">
        <v>795</v>
      </c>
      <c r="G242" s="26" t="s">
        <v>796</v>
      </c>
      <c r="H242" s="80" t="s">
        <v>346</v>
      </c>
      <c r="I242" s="55" t="s">
        <v>797</v>
      </c>
      <c r="J242" s="26"/>
      <c r="K242" s="26" t="s">
        <v>38</v>
      </c>
      <c r="L242" s="33">
        <v>45006</v>
      </c>
      <c r="M242" s="35" t="s">
        <v>102</v>
      </c>
      <c r="N242" s="35"/>
      <c r="O242" s="30" t="s">
        <v>27</v>
      </c>
      <c r="Q242" s="1"/>
    </row>
    <row r="243" spans="1:17" customFormat="1">
      <c r="A243" s="1"/>
      <c r="B243" s="27" t="s">
        <v>792</v>
      </c>
      <c r="C243" s="27">
        <v>1</v>
      </c>
      <c r="D243" s="27" t="s">
        <v>798</v>
      </c>
      <c r="E243" s="27" t="s">
        <v>799</v>
      </c>
      <c r="F243" s="26" t="s">
        <v>800</v>
      </c>
      <c r="G243" s="26" t="s">
        <v>801</v>
      </c>
      <c r="H243" s="80" t="s">
        <v>53</v>
      </c>
      <c r="I243" s="55"/>
      <c r="J243" s="26"/>
      <c r="K243" s="26" t="s">
        <v>38</v>
      </c>
      <c r="L243" s="33">
        <v>45217</v>
      </c>
      <c r="M243" s="35" t="s">
        <v>152</v>
      </c>
      <c r="N243" s="35"/>
      <c r="O243" s="30" t="s">
        <v>27</v>
      </c>
      <c r="Q243" s="1"/>
    </row>
    <row r="244" spans="1:17" customFormat="1">
      <c r="A244" s="1"/>
      <c r="B244" s="27" t="s">
        <v>792</v>
      </c>
      <c r="C244" s="27">
        <v>1</v>
      </c>
      <c r="D244" s="27" t="s">
        <v>798</v>
      </c>
      <c r="E244" s="27" t="s">
        <v>799</v>
      </c>
      <c r="F244" s="26" t="s">
        <v>802</v>
      </c>
      <c r="G244" s="26" t="s">
        <v>801</v>
      </c>
      <c r="H244" s="80" t="s">
        <v>56</v>
      </c>
      <c r="I244" s="55"/>
      <c r="J244" s="26"/>
      <c r="K244" s="26" t="s">
        <v>38</v>
      </c>
      <c r="L244" s="33">
        <v>45217</v>
      </c>
      <c r="M244" s="35" t="s">
        <v>152</v>
      </c>
      <c r="N244" s="35"/>
      <c r="O244" s="30" t="s">
        <v>27</v>
      </c>
      <c r="Q244" s="1"/>
    </row>
    <row r="245" spans="1:17" customFormat="1">
      <c r="A245" s="1"/>
      <c r="B245" s="27" t="s">
        <v>792</v>
      </c>
      <c r="C245" s="27">
        <v>1</v>
      </c>
      <c r="D245" s="27" t="s">
        <v>798</v>
      </c>
      <c r="E245" s="27" t="s">
        <v>799</v>
      </c>
      <c r="F245" s="26" t="s">
        <v>803</v>
      </c>
      <c r="G245" s="26" t="s">
        <v>801</v>
      </c>
      <c r="H245" s="80" t="s">
        <v>59</v>
      </c>
      <c r="I245" s="55"/>
      <c r="J245" s="26"/>
      <c r="K245" s="26" t="s">
        <v>38</v>
      </c>
      <c r="L245" s="33">
        <v>45217</v>
      </c>
      <c r="M245" s="35" t="s">
        <v>445</v>
      </c>
      <c r="N245" s="35"/>
      <c r="O245" s="30" t="s">
        <v>27</v>
      </c>
      <c r="Q245" s="1"/>
    </row>
    <row r="246" spans="1:17" customFormat="1">
      <c r="A246" s="1"/>
      <c r="B246" s="27" t="s">
        <v>792</v>
      </c>
      <c r="C246" s="27">
        <v>1</v>
      </c>
      <c r="D246" s="27" t="s">
        <v>798</v>
      </c>
      <c r="E246" s="27" t="s">
        <v>799</v>
      </c>
      <c r="F246" s="26" t="s">
        <v>804</v>
      </c>
      <c r="G246" s="26" t="s">
        <v>801</v>
      </c>
      <c r="H246" s="80" t="s">
        <v>62</v>
      </c>
      <c r="I246" s="55"/>
      <c r="J246" s="26"/>
      <c r="K246" s="26" t="s">
        <v>38</v>
      </c>
      <c r="L246" s="33">
        <v>45217</v>
      </c>
      <c r="M246" s="35" t="s">
        <v>805</v>
      </c>
      <c r="N246" s="35"/>
      <c r="O246" s="30" t="s">
        <v>27</v>
      </c>
      <c r="Q246" s="1"/>
    </row>
    <row r="247" spans="1:17" customFormat="1">
      <c r="A247" s="53">
        <v>77</v>
      </c>
      <c r="B247" s="15" t="s">
        <v>806</v>
      </c>
      <c r="C247" s="16">
        <v>1</v>
      </c>
      <c r="D247" s="16" t="s">
        <v>807</v>
      </c>
      <c r="E247" s="16" t="s">
        <v>35</v>
      </c>
      <c r="F247" s="18" t="s">
        <v>35</v>
      </c>
      <c r="G247" s="18" t="s">
        <v>35</v>
      </c>
      <c r="H247" s="18" t="s">
        <v>808</v>
      </c>
      <c r="I247" s="18" t="s">
        <v>35</v>
      </c>
      <c r="J247" s="18" t="s">
        <v>35</v>
      </c>
      <c r="K247" s="18" t="s">
        <v>38</v>
      </c>
      <c r="L247" s="19">
        <v>43475</v>
      </c>
      <c r="M247" s="51" t="s">
        <v>117</v>
      </c>
      <c r="N247" s="51"/>
      <c r="O247" s="48" t="s">
        <v>27</v>
      </c>
      <c r="Q247" s="1"/>
    </row>
    <row r="248" spans="1:17" customFormat="1">
      <c r="A248" s="53">
        <v>80</v>
      </c>
      <c r="B248" s="15" t="s">
        <v>326</v>
      </c>
      <c r="C248" s="16">
        <v>2</v>
      </c>
      <c r="D248" s="16" t="s">
        <v>15</v>
      </c>
      <c r="E248" s="16" t="s">
        <v>15</v>
      </c>
      <c r="F248" s="18" t="s">
        <v>15</v>
      </c>
      <c r="G248" s="18" t="s">
        <v>15</v>
      </c>
      <c r="H248" s="18"/>
      <c r="I248" s="18" t="s">
        <v>15</v>
      </c>
      <c r="J248" s="18" t="s">
        <v>35</v>
      </c>
      <c r="K248" s="18"/>
      <c r="L248" s="19">
        <v>43475</v>
      </c>
      <c r="M248" s="51" t="s">
        <v>117</v>
      </c>
      <c r="N248" s="51"/>
      <c r="O248" s="48" t="s">
        <v>17</v>
      </c>
      <c r="Q248" s="1"/>
    </row>
    <row r="249" spans="1:17" customFormat="1" outlineLevel="1">
      <c r="A249" s="21"/>
      <c r="B249" s="22" t="s">
        <v>326</v>
      </c>
      <c r="C249" s="22">
        <v>1</v>
      </c>
      <c r="D249" s="22" t="s">
        <v>809</v>
      </c>
      <c r="E249" s="22">
        <v>985</v>
      </c>
      <c r="F249" s="24">
        <v>1609994506</v>
      </c>
      <c r="G249" s="24">
        <v>500204420495</v>
      </c>
      <c r="H249" s="26" t="s">
        <v>810</v>
      </c>
      <c r="I249" s="26" t="s">
        <v>811</v>
      </c>
      <c r="J249" s="24" t="s">
        <v>35</v>
      </c>
      <c r="K249" s="26" t="s">
        <v>38</v>
      </c>
      <c r="L249" s="28">
        <v>43475</v>
      </c>
      <c r="M249" s="104" t="s">
        <v>117</v>
      </c>
      <c r="N249" s="104"/>
      <c r="O249" s="30" t="s">
        <v>27</v>
      </c>
      <c r="P249" s="21"/>
    </row>
    <row r="250" spans="1:17" outlineLevel="1">
      <c r="A250" s="27"/>
      <c r="B250" s="27" t="s">
        <v>326</v>
      </c>
      <c r="C250" s="27">
        <v>1</v>
      </c>
      <c r="D250" s="27" t="s">
        <v>327</v>
      </c>
      <c r="E250" s="27" t="s">
        <v>328</v>
      </c>
      <c r="F250" s="26" t="s">
        <v>329</v>
      </c>
      <c r="G250" s="26" t="s">
        <v>330</v>
      </c>
      <c r="H250" s="76" t="s">
        <v>331</v>
      </c>
      <c r="I250" s="3" t="s">
        <v>332</v>
      </c>
      <c r="J250" s="3" t="s">
        <v>35</v>
      </c>
      <c r="K250" s="26" t="s">
        <v>38</v>
      </c>
      <c r="L250" s="33">
        <v>43986</v>
      </c>
      <c r="M250" s="30" t="s">
        <v>117</v>
      </c>
      <c r="N250" s="30"/>
      <c r="O250" s="30" t="s">
        <v>27</v>
      </c>
    </row>
    <row r="251" spans="1:17" customFormat="1" ht="30">
      <c r="A251" s="1"/>
      <c r="B251" s="105" t="s">
        <v>812</v>
      </c>
      <c r="C251" s="27">
        <v>1</v>
      </c>
      <c r="D251" s="106" t="s">
        <v>483</v>
      </c>
      <c r="E251" s="106" t="s">
        <v>484</v>
      </c>
      <c r="F251" s="107" t="s">
        <v>813</v>
      </c>
      <c r="G251" s="26" t="s">
        <v>485</v>
      </c>
      <c r="H251" s="26" t="s">
        <v>814</v>
      </c>
      <c r="I251" s="26" t="s">
        <v>815</v>
      </c>
      <c r="J251" s="26">
        <v>3573194</v>
      </c>
      <c r="K251" s="26" t="s">
        <v>38</v>
      </c>
      <c r="L251" s="33">
        <v>44558</v>
      </c>
      <c r="M251" s="35" t="s">
        <v>102</v>
      </c>
      <c r="N251" s="35"/>
      <c r="O251" s="30" t="s">
        <v>27</v>
      </c>
      <c r="Q251" s="1"/>
    </row>
    <row r="252" spans="1:17" customFormat="1" ht="30">
      <c r="A252" s="27"/>
      <c r="B252" s="105" t="s">
        <v>812</v>
      </c>
      <c r="C252" s="27">
        <v>1</v>
      </c>
      <c r="D252" s="106" t="s">
        <v>483</v>
      </c>
      <c r="E252" s="106" t="s">
        <v>484</v>
      </c>
      <c r="F252" s="107" t="s">
        <v>816</v>
      </c>
      <c r="G252" s="26" t="s">
        <v>485</v>
      </c>
      <c r="H252" s="26" t="s">
        <v>817</v>
      </c>
      <c r="I252" s="26" t="s">
        <v>818</v>
      </c>
      <c r="J252" s="26">
        <v>3573193</v>
      </c>
      <c r="K252" s="26" t="s">
        <v>38</v>
      </c>
      <c r="L252" s="33">
        <v>44558</v>
      </c>
      <c r="M252" s="35" t="s">
        <v>102</v>
      </c>
      <c r="N252" s="35"/>
      <c r="O252" s="30" t="s">
        <v>27</v>
      </c>
      <c r="Q252" s="1"/>
    </row>
    <row r="253" spans="1:17" customFormat="1">
      <c r="A253" s="77"/>
      <c r="B253" s="108" t="s">
        <v>819</v>
      </c>
      <c r="C253" s="109">
        <v>14</v>
      </c>
      <c r="D253" s="109" t="s">
        <v>820</v>
      </c>
      <c r="E253" s="109" t="s">
        <v>821</v>
      </c>
      <c r="F253" s="110" t="s">
        <v>35</v>
      </c>
      <c r="G253" s="110" t="s">
        <v>822</v>
      </c>
      <c r="H253" s="60" t="s">
        <v>823</v>
      </c>
      <c r="I253" s="60" t="s">
        <v>35</v>
      </c>
      <c r="J253" s="110" t="s">
        <v>35</v>
      </c>
      <c r="K253" s="60" t="s">
        <v>38</v>
      </c>
      <c r="L253" s="111">
        <v>44215</v>
      </c>
      <c r="M253" s="112" t="s">
        <v>117</v>
      </c>
      <c r="N253" s="112"/>
      <c r="O253" s="59">
        <v>13</v>
      </c>
      <c r="Q253" s="1"/>
    </row>
    <row r="254" spans="1:17" customFormat="1">
      <c r="A254" s="72">
        <v>72</v>
      </c>
      <c r="B254" s="15" t="s">
        <v>824</v>
      </c>
      <c r="C254" s="16">
        <v>1</v>
      </c>
      <c r="D254" s="16" t="s">
        <v>825</v>
      </c>
      <c r="E254" s="16" t="s">
        <v>826</v>
      </c>
      <c r="F254" s="18">
        <v>3136486</v>
      </c>
      <c r="G254" s="18" t="s">
        <v>35</v>
      </c>
      <c r="H254" s="18" t="s">
        <v>827</v>
      </c>
      <c r="I254" s="52" t="s">
        <v>828</v>
      </c>
      <c r="J254" s="18" t="s">
        <v>35</v>
      </c>
      <c r="K254" s="18" t="s">
        <v>38</v>
      </c>
      <c r="L254" s="19">
        <v>43475</v>
      </c>
      <c r="M254" s="47" t="s">
        <v>117</v>
      </c>
      <c r="N254" s="47"/>
      <c r="O254" s="18" t="s">
        <v>27</v>
      </c>
      <c r="Q254" s="1"/>
    </row>
    <row r="255" spans="1:17" customFormat="1">
      <c r="A255" s="53">
        <v>71</v>
      </c>
      <c r="B255" s="15" t="s">
        <v>829</v>
      </c>
      <c r="C255" s="16">
        <v>1</v>
      </c>
      <c r="D255" s="16" t="s">
        <v>830</v>
      </c>
      <c r="E255" s="16" t="s">
        <v>831</v>
      </c>
      <c r="F255" s="18">
        <v>17120211</v>
      </c>
      <c r="G255" s="18" t="s">
        <v>35</v>
      </c>
      <c r="H255" s="18" t="s">
        <v>832</v>
      </c>
      <c r="I255" s="52" t="s">
        <v>833</v>
      </c>
      <c r="J255" s="18" t="s">
        <v>35</v>
      </c>
      <c r="K255" s="18" t="s">
        <v>38</v>
      </c>
      <c r="L255" s="19">
        <v>43475</v>
      </c>
      <c r="M255" s="47" t="s">
        <v>117</v>
      </c>
      <c r="N255" s="47"/>
      <c r="O255" s="18" t="s">
        <v>27</v>
      </c>
      <c r="Q255" s="6"/>
    </row>
    <row r="256" spans="1:17" customFormat="1">
      <c r="A256" s="53"/>
      <c r="B256" s="15" t="s">
        <v>834</v>
      </c>
      <c r="C256" s="16">
        <v>1</v>
      </c>
      <c r="D256" s="16" t="s">
        <v>835</v>
      </c>
      <c r="E256" s="16" t="s">
        <v>836</v>
      </c>
      <c r="F256" s="18" t="s">
        <v>35</v>
      </c>
      <c r="G256" s="18" t="s">
        <v>837</v>
      </c>
      <c r="H256" s="17" t="s">
        <v>838</v>
      </c>
      <c r="I256" s="18" t="s">
        <v>35</v>
      </c>
      <c r="J256" s="18" t="s">
        <v>35</v>
      </c>
      <c r="K256" s="18" t="s">
        <v>38</v>
      </c>
      <c r="L256" s="19">
        <v>45013</v>
      </c>
      <c r="M256" s="47" t="s">
        <v>117</v>
      </c>
      <c r="N256" s="47"/>
      <c r="O256" s="48" t="s">
        <v>27</v>
      </c>
      <c r="Q256" s="1"/>
    </row>
    <row r="257" spans="1:18" customFormat="1">
      <c r="A257" s="53">
        <v>92</v>
      </c>
      <c r="B257" s="15" t="s">
        <v>839</v>
      </c>
      <c r="C257" s="16">
        <v>1</v>
      </c>
      <c r="D257" s="16" t="s">
        <v>840</v>
      </c>
      <c r="E257" s="16" t="s">
        <v>841</v>
      </c>
      <c r="F257" s="18" t="s">
        <v>842</v>
      </c>
      <c r="G257" s="18" t="s">
        <v>35</v>
      </c>
      <c r="H257" s="18" t="s">
        <v>843</v>
      </c>
      <c r="I257" s="18" t="s">
        <v>844</v>
      </c>
      <c r="J257" s="18" t="s">
        <v>35</v>
      </c>
      <c r="K257" s="18" t="s">
        <v>151</v>
      </c>
      <c r="L257" s="19">
        <v>43475</v>
      </c>
      <c r="M257" s="51" t="s">
        <v>117</v>
      </c>
      <c r="N257" s="51"/>
      <c r="O257" s="48" t="s">
        <v>27</v>
      </c>
      <c r="Q257" s="1"/>
    </row>
    <row r="258" spans="1:18" customFormat="1">
      <c r="A258" s="1"/>
      <c r="B258" s="27" t="s">
        <v>701</v>
      </c>
      <c r="C258" s="27">
        <v>1</v>
      </c>
      <c r="D258" s="27" t="s">
        <v>702</v>
      </c>
      <c r="E258" s="27" t="s">
        <v>703</v>
      </c>
      <c r="F258" s="26" t="s">
        <v>845</v>
      </c>
      <c r="G258" s="26" t="s">
        <v>704</v>
      </c>
      <c r="H258" s="55" t="s">
        <v>846</v>
      </c>
      <c r="I258" s="26" t="s">
        <v>847</v>
      </c>
      <c r="J258" s="26" t="s">
        <v>35</v>
      </c>
      <c r="K258" s="26" t="s">
        <v>38</v>
      </c>
      <c r="L258" s="33">
        <v>43831</v>
      </c>
      <c r="M258" s="63" t="s">
        <v>117</v>
      </c>
      <c r="N258" s="63"/>
      <c r="O258" s="30" t="s">
        <v>27</v>
      </c>
      <c r="Q258" s="1"/>
    </row>
    <row r="259" spans="1:18" customFormat="1">
      <c r="A259" s="27"/>
      <c r="B259" s="27" t="s">
        <v>701</v>
      </c>
      <c r="C259" s="27">
        <v>1</v>
      </c>
      <c r="D259" s="27" t="s">
        <v>702</v>
      </c>
      <c r="E259" s="27" t="s">
        <v>703</v>
      </c>
      <c r="F259" s="26" t="s">
        <v>848</v>
      </c>
      <c r="G259" s="26" t="s">
        <v>704</v>
      </c>
      <c r="H259" s="55" t="s">
        <v>849</v>
      </c>
      <c r="I259" s="26" t="s">
        <v>850</v>
      </c>
      <c r="J259" s="26" t="s">
        <v>35</v>
      </c>
      <c r="K259" s="26" t="s">
        <v>38</v>
      </c>
      <c r="L259" s="33">
        <v>43831</v>
      </c>
      <c r="M259" s="35" t="s">
        <v>851</v>
      </c>
      <c r="N259" s="35"/>
      <c r="O259" s="30" t="s">
        <v>27</v>
      </c>
      <c r="Q259" s="6"/>
    </row>
    <row r="260" spans="1:18" customFormat="1">
      <c r="A260" s="16">
        <v>58</v>
      </c>
      <c r="B260" s="15" t="s">
        <v>852</v>
      </c>
      <c r="C260" s="16">
        <v>1</v>
      </c>
      <c r="D260" s="16"/>
      <c r="E260" s="16" t="s">
        <v>35</v>
      </c>
      <c r="F260" s="18" t="s">
        <v>35</v>
      </c>
      <c r="G260" s="18" t="s">
        <v>35</v>
      </c>
      <c r="H260" s="18" t="s">
        <v>853</v>
      </c>
      <c r="I260" s="18" t="s">
        <v>35</v>
      </c>
      <c r="J260" s="18" t="s">
        <v>35</v>
      </c>
      <c r="K260" s="18" t="s">
        <v>25</v>
      </c>
      <c r="L260" s="19">
        <v>43475</v>
      </c>
      <c r="M260" s="51" t="s">
        <v>117</v>
      </c>
      <c r="N260" s="51"/>
      <c r="O260" s="48" t="s">
        <v>27</v>
      </c>
      <c r="Q260" s="6"/>
    </row>
    <row r="261" spans="1:18" customFormat="1">
      <c r="A261" s="53">
        <v>57</v>
      </c>
      <c r="B261" s="15" t="s">
        <v>854</v>
      </c>
      <c r="C261" s="16">
        <v>4</v>
      </c>
      <c r="D261" s="16" t="s">
        <v>35</v>
      </c>
      <c r="E261" s="16" t="s">
        <v>35</v>
      </c>
      <c r="F261" s="18" t="s">
        <v>35</v>
      </c>
      <c r="G261" s="18" t="s">
        <v>35</v>
      </c>
      <c r="H261" s="18" t="s">
        <v>855</v>
      </c>
      <c r="I261" s="18" t="s">
        <v>35</v>
      </c>
      <c r="J261" s="18" t="s">
        <v>35</v>
      </c>
      <c r="K261" s="18" t="s">
        <v>25</v>
      </c>
      <c r="L261" s="19">
        <v>43475</v>
      </c>
      <c r="M261" s="51" t="s">
        <v>117</v>
      </c>
      <c r="N261" s="51"/>
      <c r="O261" s="48" t="s">
        <v>27</v>
      </c>
      <c r="Q261" s="1"/>
      <c r="R261" s="1"/>
    </row>
    <row r="262" spans="1:18" customFormat="1">
      <c r="A262" s="103"/>
      <c r="B262" s="27" t="s">
        <v>856</v>
      </c>
      <c r="C262" s="27">
        <v>1</v>
      </c>
      <c r="D262" s="27" t="s">
        <v>35</v>
      </c>
      <c r="E262" s="27" t="s">
        <v>35</v>
      </c>
      <c r="F262" s="26" t="s">
        <v>35</v>
      </c>
      <c r="G262" s="26" t="s">
        <v>35</v>
      </c>
      <c r="H262" s="26" t="s">
        <v>857</v>
      </c>
      <c r="I262" s="26" t="s">
        <v>858</v>
      </c>
      <c r="J262" s="26" t="s">
        <v>35</v>
      </c>
      <c r="K262" s="26" t="s">
        <v>25</v>
      </c>
      <c r="L262" s="33">
        <v>43475</v>
      </c>
      <c r="M262" s="35" t="s">
        <v>102</v>
      </c>
      <c r="N262" s="35"/>
      <c r="O262" s="30" t="s">
        <v>27</v>
      </c>
      <c r="Q262" s="1"/>
      <c r="R262" s="6"/>
    </row>
    <row r="263" spans="1:18" customFormat="1">
      <c r="A263" s="72"/>
      <c r="B263" s="27" t="s">
        <v>856</v>
      </c>
      <c r="C263" s="27">
        <v>1</v>
      </c>
      <c r="D263" s="27" t="s">
        <v>35</v>
      </c>
      <c r="E263" s="27" t="s">
        <v>35</v>
      </c>
      <c r="F263" s="26" t="s">
        <v>35</v>
      </c>
      <c r="G263" s="26" t="s">
        <v>35</v>
      </c>
      <c r="H263" s="26" t="s">
        <v>859</v>
      </c>
      <c r="I263" s="26" t="s">
        <v>860</v>
      </c>
      <c r="J263" s="26" t="s">
        <v>35</v>
      </c>
      <c r="K263" s="26" t="s">
        <v>25</v>
      </c>
      <c r="L263" s="33">
        <v>43475</v>
      </c>
      <c r="M263" s="35" t="s">
        <v>102</v>
      </c>
      <c r="N263" s="35"/>
      <c r="O263" s="30" t="s">
        <v>27</v>
      </c>
      <c r="Q263" s="1"/>
      <c r="R263" s="6"/>
    </row>
    <row r="264" spans="1:18" customFormat="1">
      <c r="A264" s="73"/>
      <c r="B264" s="27" t="s">
        <v>856</v>
      </c>
      <c r="C264" s="27">
        <v>1</v>
      </c>
      <c r="D264" s="27" t="s">
        <v>35</v>
      </c>
      <c r="E264" s="27" t="s">
        <v>35</v>
      </c>
      <c r="F264" s="26" t="s">
        <v>35</v>
      </c>
      <c r="G264" s="26" t="s">
        <v>35</v>
      </c>
      <c r="H264" s="26" t="s">
        <v>861</v>
      </c>
      <c r="I264" s="26" t="s">
        <v>862</v>
      </c>
      <c r="J264" s="26" t="s">
        <v>35</v>
      </c>
      <c r="K264" s="26" t="s">
        <v>25</v>
      </c>
      <c r="L264" s="33">
        <v>43475</v>
      </c>
      <c r="M264" s="35" t="s">
        <v>93</v>
      </c>
      <c r="N264" s="35"/>
      <c r="O264" s="30" t="s">
        <v>94</v>
      </c>
      <c r="Q264" s="1"/>
      <c r="R264" s="6"/>
    </row>
    <row r="265" spans="1:18" customFormat="1">
      <c r="A265" s="103"/>
      <c r="B265" s="27" t="s">
        <v>863</v>
      </c>
      <c r="C265" s="27">
        <v>1</v>
      </c>
      <c r="D265" s="27" t="s">
        <v>864</v>
      </c>
      <c r="E265" s="27" t="s">
        <v>865</v>
      </c>
      <c r="F265" s="26" t="s">
        <v>35</v>
      </c>
      <c r="G265" s="26" t="s">
        <v>35</v>
      </c>
      <c r="H265" s="55" t="s">
        <v>866</v>
      </c>
      <c r="I265" s="26" t="s">
        <v>867</v>
      </c>
      <c r="J265" s="26" t="s">
        <v>35</v>
      </c>
      <c r="K265" s="26" t="s">
        <v>25</v>
      </c>
      <c r="L265" s="33">
        <v>43880</v>
      </c>
      <c r="M265" s="35" t="s">
        <v>102</v>
      </c>
      <c r="N265" s="35"/>
      <c r="O265" s="30" t="s">
        <v>27</v>
      </c>
      <c r="Q265" s="1"/>
      <c r="R265" s="1"/>
    </row>
    <row r="266" spans="1:18" customFormat="1">
      <c r="A266" s="16">
        <v>51</v>
      </c>
      <c r="B266" s="15" t="s">
        <v>868</v>
      </c>
      <c r="C266" s="16">
        <v>1</v>
      </c>
      <c r="D266" s="16" t="s">
        <v>35</v>
      </c>
      <c r="E266" s="16" t="s">
        <v>35</v>
      </c>
      <c r="F266" s="18" t="s">
        <v>35</v>
      </c>
      <c r="G266" s="18" t="s">
        <v>35</v>
      </c>
      <c r="H266" s="18" t="s">
        <v>869</v>
      </c>
      <c r="I266" s="18" t="s">
        <v>35</v>
      </c>
      <c r="J266" s="18" t="s">
        <v>35</v>
      </c>
      <c r="K266" s="18" t="s">
        <v>38</v>
      </c>
      <c r="L266" s="19">
        <v>43475</v>
      </c>
      <c r="M266" s="51" t="s">
        <v>117</v>
      </c>
      <c r="N266" s="51"/>
      <c r="O266" s="48" t="s">
        <v>27</v>
      </c>
      <c r="Q266" s="1"/>
      <c r="R266" s="1"/>
    </row>
    <row r="267" spans="1:18" customFormat="1">
      <c r="A267" s="16">
        <v>50</v>
      </c>
      <c r="B267" s="15" t="s">
        <v>870</v>
      </c>
      <c r="C267" s="16">
        <v>6</v>
      </c>
      <c r="D267" s="16" t="s">
        <v>35</v>
      </c>
      <c r="E267" s="16" t="s">
        <v>35</v>
      </c>
      <c r="F267" s="18" t="s">
        <v>35</v>
      </c>
      <c r="G267" s="18" t="s">
        <v>35</v>
      </c>
      <c r="H267" s="18" t="s">
        <v>871</v>
      </c>
      <c r="I267" s="18" t="s">
        <v>35</v>
      </c>
      <c r="J267" s="18" t="s">
        <v>35</v>
      </c>
      <c r="K267" s="18" t="s">
        <v>38</v>
      </c>
      <c r="L267" s="19">
        <v>43475</v>
      </c>
      <c r="M267" s="51" t="s">
        <v>117</v>
      </c>
      <c r="N267" s="51"/>
      <c r="O267" s="48" t="s">
        <v>27</v>
      </c>
      <c r="Q267" s="1"/>
      <c r="R267" s="1"/>
    </row>
    <row r="268" spans="1:18" customFormat="1">
      <c r="A268" s="1"/>
      <c r="B268" s="27" t="s">
        <v>250</v>
      </c>
      <c r="C268" s="27">
        <v>1</v>
      </c>
      <c r="D268" s="27" t="s">
        <v>147</v>
      </c>
      <c r="E268" s="27" t="s">
        <v>872</v>
      </c>
      <c r="F268" s="26" t="s">
        <v>873</v>
      </c>
      <c r="G268" s="26" t="s">
        <v>874</v>
      </c>
      <c r="H268" s="55" t="s">
        <v>875</v>
      </c>
      <c r="I268" s="26" t="s">
        <v>876</v>
      </c>
      <c r="J268" s="26" t="s">
        <v>35</v>
      </c>
      <c r="K268" s="26" t="s">
        <v>38</v>
      </c>
      <c r="L268" s="33">
        <v>43872</v>
      </c>
      <c r="M268" s="35" t="s">
        <v>117</v>
      </c>
      <c r="N268" s="35"/>
      <c r="O268" s="30" t="s">
        <v>27</v>
      </c>
      <c r="Q268" s="1"/>
      <c r="R268" s="1"/>
    </row>
    <row r="269" spans="1:18" customFormat="1">
      <c r="A269" s="1"/>
      <c r="B269" s="27" t="s">
        <v>250</v>
      </c>
      <c r="C269" s="27">
        <v>1</v>
      </c>
      <c r="D269" s="27" t="s">
        <v>147</v>
      </c>
      <c r="E269" s="27" t="s">
        <v>877</v>
      </c>
      <c r="F269" s="26" t="s">
        <v>878</v>
      </c>
      <c r="G269" s="26" t="s">
        <v>874</v>
      </c>
      <c r="H269" s="55" t="s">
        <v>879</v>
      </c>
      <c r="I269" s="26" t="s">
        <v>880</v>
      </c>
      <c r="J269" s="26" t="s">
        <v>35</v>
      </c>
      <c r="K269" s="26" t="s">
        <v>38</v>
      </c>
      <c r="L269" s="33">
        <v>43876</v>
      </c>
      <c r="M269" s="35" t="s">
        <v>117</v>
      </c>
      <c r="N269" s="35"/>
      <c r="O269" s="30" t="s">
        <v>27</v>
      </c>
      <c r="Q269" s="1"/>
      <c r="R269" s="6"/>
    </row>
    <row r="270" spans="1:18" customFormat="1">
      <c r="A270" s="53" t="s">
        <v>578</v>
      </c>
      <c r="B270" s="15" t="s">
        <v>881</v>
      </c>
      <c r="C270" s="16">
        <v>1</v>
      </c>
      <c r="D270" s="16" t="s">
        <v>712</v>
      </c>
      <c r="E270" s="16" t="s">
        <v>882</v>
      </c>
      <c r="F270" s="18" t="s">
        <v>883</v>
      </c>
      <c r="G270" s="18">
        <v>500204400623</v>
      </c>
      <c r="H270" s="18" t="s">
        <v>884</v>
      </c>
      <c r="I270" s="18" t="s">
        <v>885</v>
      </c>
      <c r="J270" s="18" t="s">
        <v>35</v>
      </c>
      <c r="K270" s="18" t="s">
        <v>38</v>
      </c>
      <c r="L270" s="19">
        <v>43475</v>
      </c>
      <c r="M270" s="51" t="s">
        <v>117</v>
      </c>
      <c r="N270" s="51"/>
      <c r="O270" s="48" t="s">
        <v>17</v>
      </c>
      <c r="Q270" s="1"/>
      <c r="R270" s="6"/>
    </row>
    <row r="271" spans="1:18" customFormat="1">
      <c r="A271" s="1"/>
      <c r="B271" s="27" t="s">
        <v>284</v>
      </c>
      <c r="C271" s="27">
        <v>1</v>
      </c>
      <c r="D271" s="27" t="s">
        <v>285</v>
      </c>
      <c r="E271" s="27" t="s">
        <v>286</v>
      </c>
      <c r="F271" s="31" t="s">
        <v>886</v>
      </c>
      <c r="G271" s="26" t="s">
        <v>887</v>
      </c>
      <c r="H271" s="113" t="s">
        <v>888</v>
      </c>
      <c r="I271" s="18" t="s">
        <v>889</v>
      </c>
      <c r="J271" s="26"/>
      <c r="K271" s="26" t="s">
        <v>25</v>
      </c>
      <c r="L271" s="33">
        <v>44651</v>
      </c>
      <c r="M271" s="35" t="s">
        <v>78</v>
      </c>
      <c r="N271" s="35"/>
      <c r="O271" s="30" t="s">
        <v>27</v>
      </c>
      <c r="Q271" s="1"/>
      <c r="R271" s="6"/>
    </row>
    <row r="272" spans="1:18" customFormat="1">
      <c r="A272" s="1"/>
      <c r="B272" s="27" t="s">
        <v>284</v>
      </c>
      <c r="C272" s="27">
        <v>1</v>
      </c>
      <c r="D272" s="27" t="s">
        <v>285</v>
      </c>
      <c r="E272" s="27" t="s">
        <v>286</v>
      </c>
      <c r="F272" s="31" t="s">
        <v>890</v>
      </c>
      <c r="G272" s="26" t="s">
        <v>887</v>
      </c>
      <c r="H272" s="36" t="s">
        <v>891</v>
      </c>
      <c r="I272" s="18" t="s">
        <v>892</v>
      </c>
      <c r="J272" s="26"/>
      <c r="K272" s="26" t="s">
        <v>25</v>
      </c>
      <c r="L272" s="33">
        <v>44651</v>
      </c>
      <c r="M272" s="35" t="s">
        <v>893</v>
      </c>
      <c r="N272" s="35"/>
      <c r="O272" s="30" t="s">
        <v>27</v>
      </c>
      <c r="Q272" s="1"/>
      <c r="R272" s="6"/>
    </row>
    <row r="273" spans="1:18" customFormat="1">
      <c r="A273" s="1"/>
      <c r="B273" s="27" t="s">
        <v>284</v>
      </c>
      <c r="C273" s="27">
        <v>1</v>
      </c>
      <c r="D273" s="27" t="s">
        <v>285</v>
      </c>
      <c r="E273" s="27" t="s">
        <v>894</v>
      </c>
      <c r="F273" s="31" t="s">
        <v>895</v>
      </c>
      <c r="G273" s="26" t="s">
        <v>896</v>
      </c>
      <c r="H273" s="36" t="s">
        <v>897</v>
      </c>
      <c r="I273" s="18" t="s">
        <v>898</v>
      </c>
      <c r="J273" s="26"/>
      <c r="K273" s="26" t="s">
        <v>25</v>
      </c>
      <c r="L273" s="33">
        <v>44762</v>
      </c>
      <c r="M273" s="35" t="s">
        <v>78</v>
      </c>
      <c r="N273" s="35"/>
      <c r="O273" s="30" t="s">
        <v>27</v>
      </c>
      <c r="Q273" s="1"/>
      <c r="R273" s="1"/>
    </row>
    <row r="274" spans="1:18" customFormat="1">
      <c r="A274" s="27"/>
      <c r="B274" s="27" t="s">
        <v>284</v>
      </c>
      <c r="C274" s="27">
        <v>1</v>
      </c>
      <c r="D274" s="27" t="s">
        <v>285</v>
      </c>
      <c r="E274" s="27" t="s">
        <v>894</v>
      </c>
      <c r="F274" s="31" t="s">
        <v>899</v>
      </c>
      <c r="G274" s="26" t="s">
        <v>896</v>
      </c>
      <c r="H274" s="114" t="s">
        <v>900</v>
      </c>
      <c r="I274" s="18" t="s">
        <v>901</v>
      </c>
      <c r="J274" s="26"/>
      <c r="K274" s="26" t="s">
        <v>25</v>
      </c>
      <c r="L274" s="33">
        <v>44762</v>
      </c>
      <c r="M274" s="35" t="s">
        <v>78</v>
      </c>
      <c r="N274" s="35"/>
      <c r="O274" s="30" t="s">
        <v>27</v>
      </c>
      <c r="Q274" s="1"/>
      <c r="R274" s="1"/>
    </row>
    <row r="275" spans="1:18" customFormat="1">
      <c r="A275" s="27"/>
      <c r="B275" s="27" t="s">
        <v>284</v>
      </c>
      <c r="C275" s="27">
        <v>1</v>
      </c>
      <c r="D275" s="27" t="s">
        <v>285</v>
      </c>
      <c r="E275" s="27" t="s">
        <v>894</v>
      </c>
      <c r="F275" s="31" t="s">
        <v>902</v>
      </c>
      <c r="G275" s="26" t="s">
        <v>896</v>
      </c>
      <c r="H275" s="36" t="s">
        <v>903</v>
      </c>
      <c r="I275" s="18" t="s">
        <v>904</v>
      </c>
      <c r="J275" s="26"/>
      <c r="K275" s="26" t="s">
        <v>25</v>
      </c>
      <c r="L275" s="33">
        <v>44762</v>
      </c>
      <c r="M275" s="35" t="s">
        <v>78</v>
      </c>
      <c r="N275" s="35"/>
      <c r="O275" s="30" t="s">
        <v>27</v>
      </c>
      <c r="Q275" s="1"/>
      <c r="R275" s="1"/>
    </row>
    <row r="276" spans="1:18" customFormat="1" ht="30">
      <c r="A276" s="16"/>
      <c r="B276" s="87" t="s">
        <v>905</v>
      </c>
      <c r="C276" s="17">
        <v>1</v>
      </c>
      <c r="D276" s="17" t="s">
        <v>716</v>
      </c>
      <c r="E276" s="98" t="s">
        <v>906</v>
      </c>
      <c r="F276" s="18"/>
      <c r="G276" s="18" t="s">
        <v>907</v>
      </c>
      <c r="H276" s="18" t="s">
        <v>908</v>
      </c>
      <c r="I276" s="18" t="s">
        <v>35</v>
      </c>
      <c r="J276" s="18" t="s">
        <v>35</v>
      </c>
      <c r="K276" s="18" t="s">
        <v>38</v>
      </c>
      <c r="L276" s="19">
        <v>44007</v>
      </c>
      <c r="M276" s="51" t="s">
        <v>117</v>
      </c>
      <c r="N276" s="51"/>
      <c r="O276" s="48" t="s">
        <v>27</v>
      </c>
      <c r="Q276" s="1"/>
      <c r="R276" s="1"/>
    </row>
    <row r="279" spans="1:18" customFormat="1">
      <c r="A279" s="53"/>
      <c r="B279" s="15" t="s">
        <v>909</v>
      </c>
      <c r="C279" s="16">
        <v>1</v>
      </c>
      <c r="D279" s="16" t="s">
        <v>910</v>
      </c>
      <c r="E279" s="16" t="s">
        <v>911</v>
      </c>
      <c r="F279" s="18" t="s">
        <v>35</v>
      </c>
      <c r="G279" s="18" t="s">
        <v>912</v>
      </c>
      <c r="H279" s="17" t="s">
        <v>913</v>
      </c>
      <c r="I279" s="52"/>
      <c r="J279" s="18" t="s">
        <v>35</v>
      </c>
      <c r="K279" s="18" t="s">
        <v>38</v>
      </c>
      <c r="L279" s="19">
        <v>45198</v>
      </c>
      <c r="M279" s="51" t="s">
        <v>117</v>
      </c>
      <c r="N279" s="51"/>
      <c r="O279" s="48" t="s">
        <v>27</v>
      </c>
      <c r="Q279" s="6"/>
    </row>
    <row r="280" spans="1:18" customFormat="1">
      <c r="A280" s="103">
        <v>67</v>
      </c>
      <c r="B280" s="15" t="s">
        <v>914</v>
      </c>
      <c r="C280" s="16">
        <v>4</v>
      </c>
      <c r="D280" s="16" t="s">
        <v>915</v>
      </c>
      <c r="E280" s="16" t="s">
        <v>916</v>
      </c>
      <c r="F280" s="18" t="s">
        <v>35</v>
      </c>
      <c r="G280" s="18" t="s">
        <v>35</v>
      </c>
      <c r="H280" s="18" t="s">
        <v>917</v>
      </c>
      <c r="I280" s="18" t="s">
        <v>35</v>
      </c>
      <c r="J280" s="18" t="s">
        <v>35</v>
      </c>
      <c r="K280" s="18" t="s">
        <v>25</v>
      </c>
      <c r="L280" s="19">
        <v>43475</v>
      </c>
      <c r="M280" s="51" t="s">
        <v>918</v>
      </c>
      <c r="N280" s="51"/>
      <c r="O280" s="48" t="s">
        <v>27</v>
      </c>
      <c r="Q280" s="1"/>
    </row>
    <row r="281" spans="1:18" customFormat="1">
      <c r="A281" s="1"/>
      <c r="B281" s="27" t="s">
        <v>919</v>
      </c>
      <c r="C281" s="27">
        <v>1</v>
      </c>
      <c r="D281" s="27" t="s">
        <v>19</v>
      </c>
      <c r="E281" s="27" t="s">
        <v>920</v>
      </c>
      <c r="F281" s="31" t="s">
        <v>921</v>
      </c>
      <c r="G281" s="26" t="s">
        <v>22</v>
      </c>
      <c r="H281" s="36" t="s">
        <v>922</v>
      </c>
      <c r="I281" s="26" t="s">
        <v>923</v>
      </c>
      <c r="J281" s="26"/>
      <c r="K281" s="26" t="s">
        <v>25</v>
      </c>
      <c r="L281" s="33">
        <v>44914</v>
      </c>
      <c r="M281" s="35" t="s">
        <v>26</v>
      </c>
      <c r="N281" s="35"/>
      <c r="O281" s="30" t="s">
        <v>27</v>
      </c>
      <c r="Q281" s="1"/>
    </row>
    <row r="282" spans="1:18" customFormat="1">
      <c r="A282" s="1"/>
      <c r="B282" s="27" t="s">
        <v>919</v>
      </c>
      <c r="C282" s="27">
        <v>1</v>
      </c>
      <c r="D282" s="27" t="s">
        <v>19</v>
      </c>
      <c r="E282" s="27" t="s">
        <v>924</v>
      </c>
      <c r="F282" s="31" t="s">
        <v>925</v>
      </c>
      <c r="G282" s="26" t="s">
        <v>22</v>
      </c>
      <c r="H282" s="36" t="s">
        <v>926</v>
      </c>
      <c r="I282" s="26" t="s">
        <v>927</v>
      </c>
      <c r="J282" s="26">
        <v>3595832</v>
      </c>
      <c r="K282" s="26" t="s">
        <v>25</v>
      </c>
      <c r="L282" s="33">
        <v>44914</v>
      </c>
      <c r="M282" s="35" t="s">
        <v>26</v>
      </c>
      <c r="N282" s="35"/>
      <c r="O282" s="30" t="s">
        <v>27</v>
      </c>
      <c r="Q282" s="1"/>
    </row>
    <row r="283" spans="1:18" customFormat="1">
      <c r="A283" s="1"/>
      <c r="B283" s="27" t="s">
        <v>919</v>
      </c>
      <c r="C283" s="27">
        <v>1</v>
      </c>
      <c r="D283" s="27" t="s">
        <v>19</v>
      </c>
      <c r="E283" s="27" t="s">
        <v>920</v>
      </c>
      <c r="F283" s="31" t="s">
        <v>928</v>
      </c>
      <c r="G283" s="26" t="s">
        <v>22</v>
      </c>
      <c r="H283" s="36" t="s">
        <v>929</v>
      </c>
      <c r="I283" s="26" t="s">
        <v>930</v>
      </c>
      <c r="J283" s="26"/>
      <c r="K283" s="26" t="s">
        <v>25</v>
      </c>
      <c r="L283" s="33">
        <v>44932</v>
      </c>
      <c r="M283" s="35" t="s">
        <v>26</v>
      </c>
      <c r="N283" s="35"/>
      <c r="O283" s="30" t="s">
        <v>27</v>
      </c>
      <c r="Q283" s="1"/>
    </row>
    <row r="284" spans="1:18" customFormat="1">
      <c r="A284" s="1"/>
      <c r="B284" s="27" t="s">
        <v>919</v>
      </c>
      <c r="C284" s="27">
        <v>1</v>
      </c>
      <c r="D284" s="27" t="s">
        <v>19</v>
      </c>
      <c r="E284" s="27" t="s">
        <v>924</v>
      </c>
      <c r="F284" s="31" t="s">
        <v>931</v>
      </c>
      <c r="G284" s="26" t="s">
        <v>22</v>
      </c>
      <c r="H284" s="36" t="s">
        <v>932</v>
      </c>
      <c r="I284" s="26" t="s">
        <v>933</v>
      </c>
      <c r="J284" s="26"/>
      <c r="K284" s="26" t="s">
        <v>25</v>
      </c>
      <c r="L284" s="33">
        <v>44932</v>
      </c>
      <c r="M284" s="115" t="s">
        <v>590</v>
      </c>
      <c r="N284" s="35"/>
      <c r="O284" s="30" t="s">
        <v>27</v>
      </c>
      <c r="Q284" s="1"/>
    </row>
    <row r="285" spans="1:18" customFormat="1">
      <c r="A285" s="1"/>
      <c r="B285" s="27" t="s">
        <v>919</v>
      </c>
      <c r="C285" s="27">
        <v>1</v>
      </c>
      <c r="D285" s="27" t="s">
        <v>19</v>
      </c>
      <c r="E285" s="27" t="s">
        <v>934</v>
      </c>
      <c r="F285" s="31" t="s">
        <v>935</v>
      </c>
      <c r="G285" s="26" t="s">
        <v>46</v>
      </c>
      <c r="H285" s="17" t="s">
        <v>936</v>
      </c>
      <c r="I285" s="18" t="s">
        <v>937</v>
      </c>
      <c r="J285" s="26">
        <v>3638509</v>
      </c>
      <c r="K285" s="26" t="s">
        <v>25</v>
      </c>
      <c r="L285" s="33">
        <v>45213</v>
      </c>
      <c r="M285" s="115" t="s">
        <v>590</v>
      </c>
      <c r="N285" s="35"/>
      <c r="O285" s="30" t="s">
        <v>27</v>
      </c>
      <c r="Q285" s="1"/>
    </row>
    <row r="286" spans="1:18" customFormat="1">
      <c r="A286" s="1"/>
      <c r="B286" s="27" t="s">
        <v>919</v>
      </c>
      <c r="C286" s="27">
        <v>1</v>
      </c>
      <c r="D286" s="27" t="s">
        <v>19</v>
      </c>
      <c r="E286" s="27" t="s">
        <v>934</v>
      </c>
      <c r="F286" s="31" t="s">
        <v>938</v>
      </c>
      <c r="G286" s="26" t="s">
        <v>46</v>
      </c>
      <c r="H286" s="17" t="s">
        <v>939</v>
      </c>
      <c r="I286" s="18" t="s">
        <v>940</v>
      </c>
      <c r="J286" s="26">
        <v>3638508</v>
      </c>
      <c r="K286" s="26" t="s">
        <v>25</v>
      </c>
      <c r="L286" s="33">
        <v>45213</v>
      </c>
      <c r="M286" s="35" t="s">
        <v>941</v>
      </c>
      <c r="N286" s="35"/>
      <c r="O286" s="30" t="s">
        <v>27</v>
      </c>
      <c r="Q286" s="1"/>
    </row>
    <row r="287" spans="1:18" customFormat="1">
      <c r="A287" s="103"/>
      <c r="B287" s="15" t="s">
        <v>942</v>
      </c>
      <c r="C287" s="16">
        <v>1</v>
      </c>
      <c r="D287" s="16" t="s">
        <v>943</v>
      </c>
      <c r="E287" s="16" t="s">
        <v>944</v>
      </c>
      <c r="F287" s="18">
        <v>190050701000135</v>
      </c>
      <c r="G287" s="18" t="s">
        <v>35</v>
      </c>
      <c r="H287" s="18" t="s">
        <v>945</v>
      </c>
      <c r="I287" s="18" t="s">
        <v>946</v>
      </c>
      <c r="J287" s="18" t="s">
        <v>35</v>
      </c>
      <c r="K287" s="18" t="s">
        <v>25</v>
      </c>
      <c r="L287" s="19">
        <v>43475</v>
      </c>
      <c r="M287" s="51" t="s">
        <v>26</v>
      </c>
      <c r="N287" s="51"/>
      <c r="O287" s="48" t="s">
        <v>27</v>
      </c>
      <c r="Q287" s="1"/>
    </row>
    <row r="288" spans="1:18" customFormat="1">
      <c r="A288" s="103"/>
      <c r="B288" s="27" t="s">
        <v>947</v>
      </c>
      <c r="C288" s="27">
        <v>1</v>
      </c>
      <c r="D288" s="27" t="s">
        <v>948</v>
      </c>
      <c r="E288" s="27" t="s">
        <v>949</v>
      </c>
      <c r="F288" s="26">
        <v>181750560</v>
      </c>
      <c r="G288" s="26" t="s">
        <v>35</v>
      </c>
      <c r="H288" s="26" t="s">
        <v>950</v>
      </c>
      <c r="I288" s="26" t="s">
        <v>951</v>
      </c>
      <c r="J288" s="26" t="s">
        <v>35</v>
      </c>
      <c r="K288" s="26" t="s">
        <v>25</v>
      </c>
      <c r="L288" s="33">
        <v>43475</v>
      </c>
      <c r="M288" s="35" t="s">
        <v>325</v>
      </c>
      <c r="N288" s="35"/>
      <c r="O288" s="30" t="s">
        <v>27</v>
      </c>
      <c r="Q288" s="1"/>
    </row>
    <row r="289" spans="1:18" customFormat="1">
      <c r="A289" s="103"/>
      <c r="B289" s="27" t="s">
        <v>947</v>
      </c>
      <c r="C289" s="27">
        <v>1</v>
      </c>
      <c r="D289" s="27" t="s">
        <v>948</v>
      </c>
      <c r="E289" s="27" t="s">
        <v>952</v>
      </c>
      <c r="F289" s="26">
        <v>163750313</v>
      </c>
      <c r="G289" s="26" t="s">
        <v>35</v>
      </c>
      <c r="H289" s="26" t="s">
        <v>953</v>
      </c>
      <c r="I289" s="26" t="s">
        <v>954</v>
      </c>
      <c r="J289" s="26" t="s">
        <v>35</v>
      </c>
      <c r="K289" s="26" t="s">
        <v>25</v>
      </c>
      <c r="L289" s="33">
        <v>43475</v>
      </c>
      <c r="M289" s="35" t="s">
        <v>321</v>
      </c>
      <c r="N289" s="35"/>
      <c r="O289" s="30" t="s">
        <v>27</v>
      </c>
      <c r="Q289" s="1"/>
    </row>
    <row r="290" spans="1:18" customFormat="1">
      <c r="A290" s="103"/>
      <c r="B290" s="27" t="s">
        <v>947</v>
      </c>
      <c r="C290" s="27">
        <v>1</v>
      </c>
      <c r="D290" s="27" t="s">
        <v>948</v>
      </c>
      <c r="E290" s="27">
        <v>350</v>
      </c>
      <c r="F290" s="26">
        <v>48538</v>
      </c>
      <c r="G290" s="26" t="s">
        <v>35</v>
      </c>
      <c r="H290" s="26" t="s">
        <v>955</v>
      </c>
      <c r="I290" s="26" t="s">
        <v>956</v>
      </c>
      <c r="J290" s="26" t="s">
        <v>35</v>
      </c>
      <c r="K290" s="26" t="s">
        <v>25</v>
      </c>
      <c r="L290" s="33">
        <v>43475</v>
      </c>
      <c r="M290" s="35" t="s">
        <v>957</v>
      </c>
      <c r="N290" s="35"/>
      <c r="O290" s="30" t="s">
        <v>27</v>
      </c>
      <c r="Q290" s="1"/>
    </row>
    <row r="291" spans="1:18" customFormat="1">
      <c r="A291" s="103"/>
      <c r="B291" s="27" t="s">
        <v>947</v>
      </c>
      <c r="C291" s="27">
        <v>1</v>
      </c>
      <c r="D291" s="27" t="s">
        <v>948</v>
      </c>
      <c r="E291" s="27" t="s">
        <v>952</v>
      </c>
      <c r="F291" s="26">
        <v>170250788</v>
      </c>
      <c r="G291" s="26">
        <v>500204410597</v>
      </c>
      <c r="H291" s="26" t="s">
        <v>958</v>
      </c>
      <c r="I291" s="26" t="s">
        <v>959</v>
      </c>
      <c r="J291" s="26" t="s">
        <v>35</v>
      </c>
      <c r="K291" s="26" t="s">
        <v>25</v>
      </c>
      <c r="L291" s="33">
        <v>43475</v>
      </c>
      <c r="M291" s="35" t="s">
        <v>26</v>
      </c>
      <c r="N291" s="35"/>
      <c r="O291" s="30" t="s">
        <v>27</v>
      </c>
      <c r="Q291" s="1"/>
    </row>
    <row r="292" spans="1:18" customFormat="1">
      <c r="A292" s="53"/>
      <c r="B292" s="27" t="s">
        <v>947</v>
      </c>
      <c r="C292" s="27">
        <v>1</v>
      </c>
      <c r="D292" s="27" t="s">
        <v>948</v>
      </c>
      <c r="E292" s="27">
        <v>350</v>
      </c>
      <c r="F292" s="26">
        <v>47829</v>
      </c>
      <c r="G292" s="26" t="s">
        <v>35</v>
      </c>
      <c r="H292" s="26" t="s">
        <v>960</v>
      </c>
      <c r="I292" s="26" t="s">
        <v>961</v>
      </c>
      <c r="J292" s="26" t="s">
        <v>35</v>
      </c>
      <c r="K292" s="26" t="s">
        <v>25</v>
      </c>
      <c r="L292" s="33">
        <v>43475</v>
      </c>
      <c r="M292" s="35" t="s">
        <v>93</v>
      </c>
      <c r="N292" s="35"/>
      <c r="O292" s="30" t="s">
        <v>27</v>
      </c>
      <c r="Q292" s="1"/>
    </row>
    <row r="293" spans="1:18" customFormat="1">
      <c r="A293" s="53"/>
      <c r="B293" s="15" t="s">
        <v>962</v>
      </c>
      <c r="C293" s="16">
        <v>6</v>
      </c>
      <c r="D293" s="16" t="s">
        <v>538</v>
      </c>
      <c r="E293" s="16" t="s">
        <v>963</v>
      </c>
      <c r="F293" s="18" t="s">
        <v>35</v>
      </c>
      <c r="G293" s="18" t="s">
        <v>964</v>
      </c>
      <c r="H293" s="18" t="s">
        <v>965</v>
      </c>
      <c r="I293" s="18" t="s">
        <v>15</v>
      </c>
      <c r="J293" s="18">
        <v>3476750</v>
      </c>
      <c r="K293" s="18" t="s">
        <v>25</v>
      </c>
      <c r="L293" s="19">
        <v>44302</v>
      </c>
      <c r="M293" s="51" t="s">
        <v>26</v>
      </c>
      <c r="N293" s="51"/>
      <c r="O293" s="48" t="s">
        <v>27</v>
      </c>
      <c r="Q293" s="1"/>
      <c r="R293" s="1"/>
    </row>
    <row r="294" spans="1:18" customFormat="1">
      <c r="A294" s="27"/>
      <c r="B294" s="27" t="s">
        <v>966</v>
      </c>
      <c r="C294" s="27">
        <v>1</v>
      </c>
      <c r="D294" s="27" t="s">
        <v>334</v>
      </c>
      <c r="E294" s="27" t="s">
        <v>335</v>
      </c>
      <c r="F294" s="26" t="s">
        <v>967</v>
      </c>
      <c r="G294" s="26" t="s">
        <v>336</v>
      </c>
      <c r="H294" s="85" t="s">
        <v>968</v>
      </c>
      <c r="I294" s="55" t="s">
        <v>969</v>
      </c>
      <c r="J294" s="26"/>
      <c r="K294" s="26" t="s">
        <v>38</v>
      </c>
      <c r="L294" s="33">
        <v>44884</v>
      </c>
      <c r="M294" s="35" t="s">
        <v>26</v>
      </c>
      <c r="N294" s="35"/>
      <c r="O294" s="30" t="s">
        <v>27</v>
      </c>
      <c r="Q294" s="1"/>
      <c r="R294" s="1"/>
    </row>
    <row r="295" spans="1:18" customFormat="1">
      <c r="A295" s="27"/>
      <c r="B295" s="27" t="s">
        <v>966</v>
      </c>
      <c r="C295" s="27">
        <v>1</v>
      </c>
      <c r="D295" s="27" t="s">
        <v>334</v>
      </c>
      <c r="E295" s="27" t="s">
        <v>335</v>
      </c>
      <c r="F295" s="26" t="s">
        <v>970</v>
      </c>
      <c r="G295" s="26" t="s">
        <v>336</v>
      </c>
      <c r="H295" s="85" t="s">
        <v>971</v>
      </c>
      <c r="I295" s="55" t="s">
        <v>972</v>
      </c>
      <c r="J295" s="26"/>
      <c r="K295" s="26" t="s">
        <v>38</v>
      </c>
      <c r="L295" s="33">
        <v>44884</v>
      </c>
      <c r="M295" s="35" t="s">
        <v>26</v>
      </c>
      <c r="N295" s="35"/>
      <c r="O295" s="30" t="s">
        <v>27</v>
      </c>
      <c r="Q295" s="1"/>
      <c r="R295" s="1"/>
    </row>
    <row r="296" spans="1:18" customFormat="1">
      <c r="A296" s="27"/>
      <c r="B296" s="27" t="s">
        <v>966</v>
      </c>
      <c r="C296" s="27">
        <v>1</v>
      </c>
      <c r="D296" s="27" t="s">
        <v>334</v>
      </c>
      <c r="E296" s="27" t="s">
        <v>335</v>
      </c>
      <c r="F296" s="26" t="s">
        <v>973</v>
      </c>
      <c r="G296" s="26" t="s">
        <v>336</v>
      </c>
      <c r="H296" s="85" t="s">
        <v>974</v>
      </c>
      <c r="I296" s="55" t="s">
        <v>975</v>
      </c>
      <c r="J296" s="26"/>
      <c r="K296" s="26" t="s">
        <v>38</v>
      </c>
      <c r="L296" s="33">
        <v>44884</v>
      </c>
      <c r="M296" s="35" t="s">
        <v>117</v>
      </c>
      <c r="N296" s="35"/>
      <c r="O296" s="30" t="s">
        <v>27</v>
      </c>
      <c r="Q296" s="1"/>
      <c r="R296" s="1"/>
    </row>
    <row r="297" spans="1:18" customFormat="1">
      <c r="A297" s="27"/>
      <c r="B297" s="27" t="s">
        <v>966</v>
      </c>
      <c r="C297" s="27">
        <v>1</v>
      </c>
      <c r="D297" s="27" t="s">
        <v>334</v>
      </c>
      <c r="E297" s="27" t="s">
        <v>335</v>
      </c>
      <c r="F297" s="26" t="s">
        <v>976</v>
      </c>
      <c r="G297" s="26" t="s">
        <v>336</v>
      </c>
      <c r="H297" s="85" t="s">
        <v>977</v>
      </c>
      <c r="I297" s="55" t="s">
        <v>978</v>
      </c>
      <c r="J297" s="26"/>
      <c r="K297" s="26" t="s">
        <v>38</v>
      </c>
      <c r="L297" s="33">
        <v>44884</v>
      </c>
      <c r="M297" s="35" t="s">
        <v>26</v>
      </c>
      <c r="N297" s="35"/>
      <c r="O297" s="30" t="s">
        <v>27</v>
      </c>
      <c r="Q297" s="1"/>
      <c r="R297" s="1"/>
    </row>
    <row r="298" spans="1:18" customFormat="1">
      <c r="A298" s="27"/>
      <c r="B298" s="27" t="s">
        <v>966</v>
      </c>
      <c r="C298" s="27">
        <v>1</v>
      </c>
      <c r="D298" s="27" t="s">
        <v>334</v>
      </c>
      <c r="E298" s="27" t="s">
        <v>335</v>
      </c>
      <c r="F298" s="26" t="s">
        <v>979</v>
      </c>
      <c r="G298" s="26" t="s">
        <v>336</v>
      </c>
      <c r="H298" s="85" t="s">
        <v>980</v>
      </c>
      <c r="I298" s="55" t="s">
        <v>981</v>
      </c>
      <c r="J298" s="26"/>
      <c r="K298" s="26" t="s">
        <v>38</v>
      </c>
      <c r="L298" s="33">
        <v>44884</v>
      </c>
      <c r="M298" s="35" t="s">
        <v>26</v>
      </c>
      <c r="N298" s="35"/>
      <c r="O298" s="30" t="s">
        <v>27</v>
      </c>
      <c r="Q298" s="1"/>
      <c r="R298" s="1"/>
    </row>
    <row r="299" spans="1:18" customFormat="1">
      <c r="A299" s="53">
        <v>88</v>
      </c>
      <c r="B299" s="15" t="s">
        <v>982</v>
      </c>
      <c r="C299" s="16">
        <v>1</v>
      </c>
      <c r="D299" s="16" t="s">
        <v>825</v>
      </c>
      <c r="E299" s="16" t="s">
        <v>983</v>
      </c>
      <c r="F299" s="18" t="s">
        <v>15</v>
      </c>
      <c r="G299" s="18">
        <v>500204400641</v>
      </c>
      <c r="H299" s="18" t="s">
        <v>984</v>
      </c>
      <c r="I299" s="18" t="s">
        <v>985</v>
      </c>
      <c r="J299" s="18" t="s">
        <v>35</v>
      </c>
      <c r="K299" s="18" t="s">
        <v>25</v>
      </c>
      <c r="L299" s="19">
        <v>43475</v>
      </c>
      <c r="M299" s="51" t="s">
        <v>986</v>
      </c>
      <c r="N299" s="51" t="s">
        <v>987</v>
      </c>
      <c r="O299" s="48" t="s">
        <v>27</v>
      </c>
      <c r="Q299" s="1"/>
      <c r="R299" s="1"/>
    </row>
    <row r="300" spans="1:18" customFormat="1">
      <c r="A300" s="53"/>
      <c r="B300" s="116" t="s">
        <v>988</v>
      </c>
      <c r="C300" s="16">
        <v>1</v>
      </c>
      <c r="D300" s="16" t="s">
        <v>334</v>
      </c>
      <c r="E300" s="16" t="s">
        <v>989</v>
      </c>
      <c r="F300" s="46" t="s">
        <v>990</v>
      </c>
      <c r="G300" s="18" t="s">
        <v>991</v>
      </c>
      <c r="H300" s="36" t="s">
        <v>992</v>
      </c>
      <c r="I300" s="26"/>
      <c r="J300" s="18" t="s">
        <v>35</v>
      </c>
      <c r="K300" s="18" t="s">
        <v>38</v>
      </c>
      <c r="L300" s="19">
        <v>44884</v>
      </c>
      <c r="M300" s="51" t="s">
        <v>26</v>
      </c>
      <c r="N300" s="51"/>
      <c r="O300" s="48" t="s">
        <v>27</v>
      </c>
      <c r="Q300" s="1"/>
      <c r="R300" s="6"/>
    </row>
    <row r="301" spans="1:18" customFormat="1">
      <c r="A301" s="53">
        <v>3</v>
      </c>
      <c r="B301" s="15" t="s">
        <v>104</v>
      </c>
      <c r="C301" s="16">
        <v>2</v>
      </c>
      <c r="D301" s="16" t="s">
        <v>993</v>
      </c>
      <c r="E301" s="16" t="s">
        <v>35</v>
      </c>
      <c r="F301" s="18" t="s">
        <v>15</v>
      </c>
      <c r="G301" s="18" t="s">
        <v>15</v>
      </c>
      <c r="H301" s="18"/>
      <c r="I301" s="18" t="s">
        <v>15</v>
      </c>
      <c r="J301" s="16" t="s">
        <v>15</v>
      </c>
      <c r="K301" s="16"/>
      <c r="L301" s="19">
        <v>43475</v>
      </c>
      <c r="M301" s="51"/>
      <c r="N301" s="51"/>
      <c r="O301" s="48" t="s">
        <v>17</v>
      </c>
      <c r="Q301" s="1"/>
      <c r="R301" s="1"/>
    </row>
    <row r="302" spans="1:18" customFormat="1">
      <c r="A302" s="53"/>
      <c r="B302" s="15" t="s">
        <v>221</v>
      </c>
      <c r="C302" s="16">
        <v>4</v>
      </c>
      <c r="D302" s="16" t="s">
        <v>35</v>
      </c>
      <c r="E302" s="16" t="s">
        <v>35</v>
      </c>
      <c r="F302" s="18" t="s">
        <v>35</v>
      </c>
      <c r="G302" s="18" t="s">
        <v>35</v>
      </c>
      <c r="H302" s="18"/>
      <c r="I302" s="18" t="s">
        <v>35</v>
      </c>
      <c r="J302" s="18" t="s">
        <v>35</v>
      </c>
      <c r="K302" s="18"/>
      <c r="L302" s="19">
        <v>43475</v>
      </c>
      <c r="M302" s="51"/>
      <c r="N302" s="51"/>
      <c r="O302" s="48" t="s">
        <v>17</v>
      </c>
      <c r="Q302" s="1"/>
      <c r="R302" s="1"/>
    </row>
    <row r="303" spans="1:18" customFormat="1">
      <c r="A303" s="53"/>
      <c r="B303" s="15" t="s">
        <v>994</v>
      </c>
      <c r="C303" s="16">
        <v>4</v>
      </c>
      <c r="D303" s="16"/>
      <c r="E303" s="16"/>
      <c r="F303" s="46"/>
      <c r="G303" s="18" t="s">
        <v>22</v>
      </c>
      <c r="H303" s="18" t="s">
        <v>14</v>
      </c>
      <c r="I303" s="18" t="s">
        <v>15</v>
      </c>
      <c r="J303" s="18"/>
      <c r="K303" s="18"/>
      <c r="L303" s="19" t="s">
        <v>14</v>
      </c>
      <c r="M303" s="51"/>
      <c r="N303" s="51"/>
      <c r="O303" s="48" t="s">
        <v>17</v>
      </c>
      <c r="Q303" s="1"/>
      <c r="R303" s="6"/>
    </row>
    <row r="304" spans="1:18" customFormat="1">
      <c r="A304" s="1"/>
      <c r="B304" s="27" t="s">
        <v>995</v>
      </c>
      <c r="C304" s="27">
        <v>1</v>
      </c>
      <c r="D304" s="27" t="s">
        <v>19</v>
      </c>
      <c r="E304" s="27" t="s">
        <v>996</v>
      </c>
      <c r="F304" s="31" t="s">
        <v>997</v>
      </c>
      <c r="G304" s="26" t="s">
        <v>22</v>
      </c>
      <c r="H304" s="36" t="s">
        <v>998</v>
      </c>
      <c r="I304" s="18" t="s">
        <v>999</v>
      </c>
      <c r="J304" s="26"/>
      <c r="K304" s="26" t="s">
        <v>25</v>
      </c>
      <c r="L304" s="33">
        <v>44932</v>
      </c>
      <c r="M304" s="35" t="s">
        <v>1000</v>
      </c>
      <c r="N304" s="35"/>
      <c r="O304" s="30" t="s">
        <v>27</v>
      </c>
      <c r="Q304" s="1"/>
      <c r="R304" s="1"/>
    </row>
    <row r="305" spans="1:18" customFormat="1">
      <c r="A305" s="1"/>
      <c r="B305" s="27" t="s">
        <v>1001</v>
      </c>
      <c r="C305" s="27">
        <v>1</v>
      </c>
      <c r="D305" s="27" t="s">
        <v>19</v>
      </c>
      <c r="E305" s="27" t="s">
        <v>1002</v>
      </c>
      <c r="F305" s="26" t="s">
        <v>1003</v>
      </c>
      <c r="G305" s="26" t="s">
        <v>22</v>
      </c>
      <c r="H305" s="36" t="s">
        <v>1004</v>
      </c>
      <c r="I305" s="18" t="s">
        <v>1005</v>
      </c>
      <c r="J305" s="26"/>
      <c r="K305" s="26" t="s">
        <v>25</v>
      </c>
      <c r="L305" s="33">
        <v>44914</v>
      </c>
      <c r="M305" s="35" t="s">
        <v>1000</v>
      </c>
      <c r="N305" s="35"/>
      <c r="O305" s="30" t="s">
        <v>27</v>
      </c>
      <c r="Q305" s="1"/>
      <c r="R305" s="1"/>
    </row>
    <row r="306" spans="1:18" customFormat="1" ht="30">
      <c r="A306" s="27"/>
      <c r="B306" s="27" t="s">
        <v>1006</v>
      </c>
      <c r="C306" s="27">
        <v>2</v>
      </c>
      <c r="D306" s="27" t="s">
        <v>19</v>
      </c>
      <c r="E306" s="27"/>
      <c r="F306" s="26" t="s">
        <v>35</v>
      </c>
      <c r="G306" s="26" t="s">
        <v>22</v>
      </c>
      <c r="H306" s="36" t="s">
        <v>1007</v>
      </c>
      <c r="I306" s="117" t="s">
        <v>1008</v>
      </c>
      <c r="J306" s="26"/>
      <c r="K306" s="26" t="s">
        <v>25</v>
      </c>
      <c r="L306" s="33">
        <v>44914</v>
      </c>
      <c r="M306" s="35" t="s">
        <v>1000</v>
      </c>
      <c r="N306" s="35"/>
      <c r="O306" s="30" t="s">
        <v>27</v>
      </c>
      <c r="Q306" s="1"/>
      <c r="R306" s="6"/>
    </row>
    <row r="307" spans="1:18" customFormat="1">
      <c r="A307" s="27"/>
      <c r="B307" s="27" t="s">
        <v>1009</v>
      </c>
      <c r="C307" s="27">
        <v>1</v>
      </c>
      <c r="D307" s="27" t="s">
        <v>19</v>
      </c>
      <c r="E307" s="27" t="s">
        <v>1010</v>
      </c>
      <c r="F307" s="26" t="s">
        <v>1011</v>
      </c>
      <c r="G307" s="26" t="s">
        <v>22</v>
      </c>
      <c r="H307" s="36" t="s">
        <v>1012</v>
      </c>
      <c r="I307" s="52"/>
      <c r="J307" s="26"/>
      <c r="K307" s="26" t="s">
        <v>25</v>
      </c>
      <c r="L307" s="33">
        <v>44932</v>
      </c>
      <c r="M307" s="35" t="s">
        <v>117</v>
      </c>
      <c r="N307" s="35"/>
      <c r="O307" s="30" t="s">
        <v>27</v>
      </c>
      <c r="Q307" s="1"/>
      <c r="R307" s="1"/>
    </row>
    <row r="308" spans="1:18" customFormat="1">
      <c r="A308" s="53">
        <v>47</v>
      </c>
      <c r="B308" s="91" t="s">
        <v>1013</v>
      </c>
      <c r="C308" s="77">
        <v>4</v>
      </c>
      <c r="D308" s="77" t="s">
        <v>35</v>
      </c>
      <c r="E308" s="77" t="s">
        <v>35</v>
      </c>
      <c r="F308" s="18" t="s">
        <v>35</v>
      </c>
      <c r="G308" s="92"/>
      <c r="H308" s="18"/>
      <c r="I308" s="18" t="s">
        <v>15</v>
      </c>
      <c r="J308" s="92"/>
      <c r="K308" s="92"/>
      <c r="L308" s="93">
        <v>43475</v>
      </c>
      <c r="M308" s="94"/>
      <c r="N308" s="94"/>
      <c r="O308" s="48" t="s">
        <v>17</v>
      </c>
      <c r="Q308" s="1"/>
      <c r="R308" s="1"/>
    </row>
    <row r="309" spans="1:18" customFormat="1">
      <c r="A309" s="27"/>
      <c r="B309" s="27" t="s">
        <v>1014</v>
      </c>
      <c r="C309" s="27">
        <v>1</v>
      </c>
      <c r="D309" s="27" t="s">
        <v>1015</v>
      </c>
      <c r="E309" s="27" t="s">
        <v>1016</v>
      </c>
      <c r="F309" s="26" t="s">
        <v>1017</v>
      </c>
      <c r="G309" s="26" t="s">
        <v>35</v>
      </c>
      <c r="H309" s="26" t="s">
        <v>1018</v>
      </c>
      <c r="I309" s="26" t="s">
        <v>1019</v>
      </c>
      <c r="J309" s="26" t="s">
        <v>35</v>
      </c>
      <c r="K309" s="26" t="s">
        <v>38</v>
      </c>
      <c r="L309" s="33">
        <v>43475</v>
      </c>
      <c r="M309" s="35" t="s">
        <v>117</v>
      </c>
      <c r="N309" s="35"/>
      <c r="O309" s="30" t="s">
        <v>27</v>
      </c>
      <c r="Q309" s="1"/>
    </row>
    <row r="310" spans="1:18" customFormat="1">
      <c r="A310" s="27"/>
      <c r="B310" s="27" t="s">
        <v>1020</v>
      </c>
      <c r="C310" s="27">
        <v>1</v>
      </c>
      <c r="D310" s="27" t="s">
        <v>1021</v>
      </c>
      <c r="E310" s="27" t="s">
        <v>1022</v>
      </c>
      <c r="F310" s="26">
        <v>13020792</v>
      </c>
      <c r="G310" s="26">
        <v>17457</v>
      </c>
      <c r="H310" s="26" t="s">
        <v>1023</v>
      </c>
      <c r="I310" s="26" t="s">
        <v>1024</v>
      </c>
      <c r="J310" s="26" t="s">
        <v>35</v>
      </c>
      <c r="K310" s="26" t="s">
        <v>38</v>
      </c>
      <c r="L310" s="33">
        <v>43475</v>
      </c>
      <c r="M310" s="35" t="s">
        <v>117</v>
      </c>
      <c r="N310" s="35"/>
      <c r="O310" s="30" t="s">
        <v>27</v>
      </c>
      <c r="Q310" s="1"/>
    </row>
    <row r="311" spans="1:18" customFormat="1">
      <c r="A311" s="27"/>
      <c r="B311" s="27" t="s">
        <v>1020</v>
      </c>
      <c r="C311" s="27">
        <v>1</v>
      </c>
      <c r="D311" s="27" t="s">
        <v>1021</v>
      </c>
      <c r="E311" s="27" t="s">
        <v>1022</v>
      </c>
      <c r="F311" s="26">
        <v>13084245</v>
      </c>
      <c r="G311" s="26">
        <v>17458</v>
      </c>
      <c r="H311" s="26" t="s">
        <v>1025</v>
      </c>
      <c r="I311" s="26" t="s">
        <v>720</v>
      </c>
      <c r="J311" s="26" t="s">
        <v>35</v>
      </c>
      <c r="K311" s="26" t="s">
        <v>38</v>
      </c>
      <c r="L311" s="33">
        <v>43475</v>
      </c>
      <c r="M311" s="35" t="s">
        <v>117</v>
      </c>
      <c r="N311" s="35"/>
      <c r="O311" s="30" t="s">
        <v>27</v>
      </c>
      <c r="Q311" s="6"/>
    </row>
    <row r="312" spans="1:18" customFormat="1">
      <c r="A312" s="1" t="s">
        <v>596</v>
      </c>
      <c r="B312" s="27" t="s">
        <v>1020</v>
      </c>
      <c r="C312" s="27">
        <v>1</v>
      </c>
      <c r="D312" s="27" t="s">
        <v>1026</v>
      </c>
      <c r="E312" s="27" t="s">
        <v>15</v>
      </c>
      <c r="F312" s="26" t="s">
        <v>1027</v>
      </c>
      <c r="G312" s="26">
        <v>17413</v>
      </c>
      <c r="H312" s="26" t="s">
        <v>1028</v>
      </c>
      <c r="I312" s="26" t="s">
        <v>1029</v>
      </c>
      <c r="J312" s="26" t="s">
        <v>35</v>
      </c>
      <c r="K312" s="26" t="s">
        <v>38</v>
      </c>
      <c r="L312" s="33">
        <v>43475</v>
      </c>
      <c r="M312" s="35" t="s">
        <v>117</v>
      </c>
      <c r="N312" s="35"/>
      <c r="O312" s="30" t="s">
        <v>27</v>
      </c>
      <c r="Q312" s="6"/>
    </row>
    <row r="313" spans="1:18" customFormat="1">
      <c r="A313" s="1">
        <v>0</v>
      </c>
      <c r="B313" s="27" t="s">
        <v>1030</v>
      </c>
      <c r="C313" s="27">
        <v>1</v>
      </c>
      <c r="D313" s="27" t="s">
        <v>1031</v>
      </c>
      <c r="E313" s="27" t="s">
        <v>35</v>
      </c>
      <c r="F313" s="26" t="s">
        <v>35</v>
      </c>
      <c r="G313" s="26" t="s">
        <v>35</v>
      </c>
      <c r="H313" s="26" t="s">
        <v>1032</v>
      </c>
      <c r="I313" s="26" t="s">
        <v>35</v>
      </c>
      <c r="J313" s="26" t="s">
        <v>35</v>
      </c>
      <c r="K313" s="26" t="s">
        <v>38</v>
      </c>
      <c r="L313" s="33">
        <v>43475</v>
      </c>
      <c r="M313" s="35" t="s">
        <v>117</v>
      </c>
      <c r="N313" s="35"/>
      <c r="O313" s="30" t="s">
        <v>27</v>
      </c>
      <c r="Q313" s="6"/>
    </row>
    <row r="314" spans="1:18" customFormat="1">
      <c r="A314" s="27"/>
      <c r="B314" s="116" t="s">
        <v>1033</v>
      </c>
      <c r="C314" s="16">
        <v>5</v>
      </c>
      <c r="D314" s="16" t="s">
        <v>131</v>
      </c>
      <c r="E314" s="16" t="s">
        <v>296</v>
      </c>
      <c r="F314" s="18" t="s">
        <v>15</v>
      </c>
      <c r="G314" s="18" t="s">
        <v>15</v>
      </c>
      <c r="H314" s="18" t="s">
        <v>14</v>
      </c>
      <c r="I314" s="18" t="s">
        <v>15</v>
      </c>
      <c r="J314" s="18" t="s">
        <v>15</v>
      </c>
      <c r="K314" s="18"/>
      <c r="L314" s="19" t="s">
        <v>14</v>
      </c>
      <c r="M314" s="51"/>
      <c r="N314" s="51"/>
      <c r="O314" s="48" t="s">
        <v>17</v>
      </c>
      <c r="Q314" s="1"/>
    </row>
    <row r="315" spans="1:18" customFormat="1">
      <c r="A315" s="53"/>
      <c r="B315" s="116" t="s">
        <v>1034</v>
      </c>
      <c r="C315" s="118">
        <v>2</v>
      </c>
      <c r="D315" s="16"/>
      <c r="E315" s="16"/>
      <c r="F315" s="18"/>
      <c r="G315" s="18"/>
      <c r="H315" s="18" t="s">
        <v>14</v>
      </c>
      <c r="I315" s="18"/>
      <c r="J315" s="18"/>
      <c r="K315" s="18"/>
      <c r="L315" s="19"/>
      <c r="M315" s="51"/>
      <c r="N315" s="51"/>
      <c r="O315" s="48"/>
      <c r="Q315" s="1"/>
    </row>
    <row r="316" spans="1:18" customFormat="1">
      <c r="A316" s="53"/>
      <c r="B316" s="116" t="s">
        <v>1035</v>
      </c>
      <c r="C316" s="118">
        <v>2</v>
      </c>
      <c r="D316" s="16"/>
      <c r="E316" s="16"/>
      <c r="F316" s="18"/>
      <c r="G316" s="18"/>
      <c r="H316" s="18" t="s">
        <v>14</v>
      </c>
      <c r="I316" s="18"/>
      <c r="J316" s="18"/>
      <c r="K316" s="18"/>
      <c r="L316" s="19"/>
      <c r="M316" s="51"/>
      <c r="N316" s="51"/>
      <c r="O316" s="48"/>
      <c r="Q316" s="1"/>
    </row>
    <row r="317" spans="1:18" customFormat="1">
      <c r="A317" s="53"/>
      <c r="B317" s="116" t="s">
        <v>1036</v>
      </c>
      <c r="C317" s="118">
        <v>4</v>
      </c>
      <c r="D317" s="16"/>
      <c r="E317" s="16"/>
      <c r="F317" s="18"/>
      <c r="G317" s="18"/>
      <c r="H317" s="18" t="s">
        <v>14</v>
      </c>
      <c r="I317" s="18"/>
      <c r="J317" s="18"/>
      <c r="K317" s="18"/>
      <c r="L317" s="19"/>
      <c r="M317" s="51"/>
      <c r="N317" s="51"/>
      <c r="O317" s="48"/>
      <c r="Q317" s="1"/>
    </row>
    <row r="318" spans="1:18" customFormat="1">
      <c r="A318" s="53"/>
      <c r="B318" s="116" t="s">
        <v>1037</v>
      </c>
      <c r="C318" s="118">
        <v>2</v>
      </c>
      <c r="D318" s="16"/>
      <c r="E318" s="16"/>
      <c r="F318" s="18"/>
      <c r="G318" s="18"/>
      <c r="H318" s="18" t="s">
        <v>14</v>
      </c>
      <c r="I318" s="18"/>
      <c r="J318" s="18"/>
      <c r="K318" s="18"/>
      <c r="L318" s="19"/>
      <c r="M318" s="51"/>
      <c r="N318" s="51"/>
      <c r="O318" s="48"/>
      <c r="Q318" s="1"/>
    </row>
    <row r="319" spans="1:18" customFormat="1">
      <c r="A319" s="53"/>
      <c r="B319" s="116" t="s">
        <v>1038</v>
      </c>
      <c r="C319" s="118">
        <v>11</v>
      </c>
      <c r="D319" s="16"/>
      <c r="E319" s="16"/>
      <c r="F319" s="18"/>
      <c r="G319" s="18"/>
      <c r="H319" s="18" t="s">
        <v>14</v>
      </c>
      <c r="I319" s="18"/>
      <c r="J319" s="18"/>
      <c r="K319" s="18"/>
      <c r="L319" s="19"/>
      <c r="M319" s="51"/>
      <c r="N319" s="51"/>
      <c r="O319" s="48"/>
      <c r="Q319" s="1"/>
    </row>
    <row r="320" spans="1:18" customFormat="1">
      <c r="A320" s="53"/>
      <c r="B320" s="119" t="s">
        <v>1039</v>
      </c>
      <c r="C320" s="118">
        <v>1</v>
      </c>
      <c r="D320" s="16"/>
      <c r="E320" s="16"/>
      <c r="F320" s="18"/>
      <c r="G320" s="18" t="s">
        <v>1040</v>
      </c>
      <c r="H320" s="120" t="s">
        <v>1041</v>
      </c>
      <c r="I320" s="18"/>
      <c r="J320" s="18"/>
      <c r="K320" s="18"/>
      <c r="L320" s="19">
        <v>45048</v>
      </c>
      <c r="M320" s="51"/>
      <c r="N320" s="51"/>
      <c r="O320" s="48" t="s">
        <v>94</v>
      </c>
      <c r="Q320" s="1"/>
    </row>
    <row r="321" spans="1:17" customFormat="1">
      <c r="A321" s="53"/>
      <c r="B321" s="119" t="s">
        <v>1042</v>
      </c>
      <c r="C321" s="118">
        <v>1</v>
      </c>
      <c r="D321" s="16" t="s">
        <v>1043</v>
      </c>
      <c r="E321" s="16"/>
      <c r="F321" s="18"/>
      <c r="G321" s="18" t="s">
        <v>1044</v>
      </c>
      <c r="H321" s="18" t="s">
        <v>1045</v>
      </c>
      <c r="I321" s="18"/>
      <c r="J321" s="18"/>
      <c r="K321" s="18" t="s">
        <v>1046</v>
      </c>
      <c r="L321" s="19"/>
      <c r="M321" s="51" t="s">
        <v>1047</v>
      </c>
      <c r="N321" s="51"/>
      <c r="O321" s="48"/>
      <c r="Q321" s="1"/>
    </row>
    <row r="322" spans="1:17" customFormat="1">
      <c r="A322" s="53"/>
      <c r="B322" s="119" t="s">
        <v>1048</v>
      </c>
      <c r="C322" s="118">
        <v>1</v>
      </c>
      <c r="D322" s="16" t="s">
        <v>1043</v>
      </c>
      <c r="E322" s="16"/>
      <c r="F322" s="18"/>
      <c r="G322" s="18" t="s">
        <v>1044</v>
      </c>
      <c r="H322" s="18" t="s">
        <v>1049</v>
      </c>
      <c r="I322" s="18"/>
      <c r="J322" s="18"/>
      <c r="K322" s="18" t="s">
        <v>1046</v>
      </c>
      <c r="L322" s="19"/>
      <c r="M322" s="51" t="s">
        <v>1047</v>
      </c>
      <c r="N322" s="51"/>
      <c r="O322" s="48"/>
      <c r="Q322" s="1"/>
    </row>
    <row r="323" spans="1:17" customFormat="1">
      <c r="A323" s="53"/>
      <c r="B323" s="119" t="s">
        <v>1050</v>
      </c>
      <c r="C323" s="118">
        <v>1</v>
      </c>
      <c r="D323" s="16" t="s">
        <v>1051</v>
      </c>
      <c r="E323" s="16" t="s">
        <v>1052</v>
      </c>
      <c r="F323" s="18" t="s">
        <v>1053</v>
      </c>
      <c r="G323" s="18" t="s">
        <v>1044</v>
      </c>
      <c r="H323" s="18" t="s">
        <v>1054</v>
      </c>
      <c r="I323" s="18"/>
      <c r="J323" s="18"/>
      <c r="K323" s="18" t="s">
        <v>1046</v>
      </c>
      <c r="L323" s="19"/>
      <c r="M323" s="51" t="s">
        <v>1047</v>
      </c>
      <c r="N323" s="51"/>
      <c r="O323" s="48"/>
      <c r="Q323" s="1"/>
    </row>
    <row r="324" spans="1:17" customFormat="1">
      <c r="A324" s="53"/>
      <c r="B324" s="119" t="s">
        <v>1055</v>
      </c>
      <c r="C324" s="118">
        <v>2</v>
      </c>
      <c r="D324" s="16"/>
      <c r="E324" s="16"/>
      <c r="F324" s="18"/>
      <c r="G324" s="18"/>
      <c r="H324" s="18"/>
      <c r="I324" s="18"/>
      <c r="J324" s="18"/>
      <c r="K324" s="18"/>
      <c r="L324" s="19"/>
      <c r="M324" s="51"/>
      <c r="N324" s="51"/>
      <c r="O324" s="48"/>
      <c r="Q324" s="1"/>
    </row>
    <row r="325" spans="1:17" s="126" customFormat="1">
      <c r="A325" s="121"/>
      <c r="B325" s="122" t="s">
        <v>1056</v>
      </c>
      <c r="C325" s="123">
        <v>1</v>
      </c>
      <c r="D325" s="54" t="s">
        <v>1051</v>
      </c>
      <c r="E325" s="54" t="s">
        <v>1052</v>
      </c>
      <c r="F325" s="55">
        <v>2085191</v>
      </c>
      <c r="G325" s="55" t="s">
        <v>608</v>
      </c>
      <c r="H325" s="55" t="s">
        <v>1057</v>
      </c>
      <c r="I325" s="55"/>
      <c r="J325" s="55"/>
      <c r="K325" s="55" t="s">
        <v>1046</v>
      </c>
      <c r="L325" s="124"/>
      <c r="M325" s="56" t="s">
        <v>1047</v>
      </c>
      <c r="N325" s="56"/>
      <c r="O325" s="125"/>
      <c r="Q325" s="121"/>
    </row>
    <row r="326" spans="1:17" s="126" customFormat="1">
      <c r="A326" s="121"/>
      <c r="B326" s="122" t="s">
        <v>1056</v>
      </c>
      <c r="C326" s="123">
        <v>1</v>
      </c>
      <c r="D326" s="54" t="s">
        <v>1051</v>
      </c>
      <c r="E326" s="54" t="s">
        <v>1052</v>
      </c>
      <c r="F326" s="55">
        <v>2098043</v>
      </c>
      <c r="G326" s="55" t="s">
        <v>608</v>
      </c>
      <c r="H326" s="55" t="s">
        <v>1058</v>
      </c>
      <c r="I326" s="55"/>
      <c r="J326" s="55"/>
      <c r="K326" s="55" t="s">
        <v>1046</v>
      </c>
      <c r="L326" s="124"/>
      <c r="M326" s="56" t="s">
        <v>1047</v>
      </c>
      <c r="N326" s="56"/>
      <c r="O326" s="125"/>
      <c r="Q326" s="121"/>
    </row>
    <row r="327" spans="1:17" customFormat="1">
      <c r="A327" s="53"/>
      <c r="B327" s="119" t="s">
        <v>1059</v>
      </c>
      <c r="C327" s="118">
        <v>1</v>
      </c>
      <c r="D327" s="16" t="s">
        <v>1051</v>
      </c>
      <c r="E327" s="16" t="s">
        <v>1060</v>
      </c>
      <c r="F327" s="18" t="s">
        <v>1061</v>
      </c>
      <c r="G327" s="18" t="s">
        <v>1044</v>
      </c>
      <c r="H327" s="18" t="s">
        <v>1062</v>
      </c>
      <c r="I327" s="18"/>
      <c r="J327" s="18"/>
      <c r="K327" s="18" t="s">
        <v>1046</v>
      </c>
      <c r="L327" s="19"/>
      <c r="M327" s="51" t="s">
        <v>1047</v>
      </c>
      <c r="N327" s="51"/>
      <c r="O327" s="48"/>
      <c r="Q327" s="1"/>
    </row>
    <row r="328" spans="1:17" customFormat="1">
      <c r="A328" s="53"/>
      <c r="B328" s="119" t="s">
        <v>1063</v>
      </c>
      <c r="C328" s="118">
        <v>1</v>
      </c>
      <c r="D328" s="16" t="s">
        <v>1043</v>
      </c>
      <c r="E328" s="16" t="s">
        <v>1064</v>
      </c>
      <c r="F328" s="18"/>
      <c r="G328" s="18" t="s">
        <v>1044</v>
      </c>
      <c r="H328" s="18" t="s">
        <v>1065</v>
      </c>
      <c r="I328" s="18"/>
      <c r="J328" s="18"/>
      <c r="K328" s="18" t="s">
        <v>1046</v>
      </c>
      <c r="L328" s="19"/>
      <c r="M328" s="51" t="s">
        <v>1047</v>
      </c>
      <c r="N328" s="51"/>
      <c r="O328" s="48"/>
      <c r="Q328" s="1"/>
    </row>
    <row r="329" spans="1:17" customFormat="1">
      <c r="A329" s="53"/>
      <c r="B329" s="119" t="s">
        <v>1066</v>
      </c>
      <c r="C329" s="118">
        <v>1</v>
      </c>
      <c r="D329" s="16" t="s">
        <v>1067</v>
      </c>
      <c r="E329" s="16" t="s">
        <v>1068</v>
      </c>
      <c r="F329" s="18"/>
      <c r="G329" s="18" t="s">
        <v>1044</v>
      </c>
      <c r="H329" s="18" t="s">
        <v>1069</v>
      </c>
      <c r="I329" s="18"/>
      <c r="J329" s="18"/>
      <c r="K329" s="18" t="s">
        <v>1046</v>
      </c>
      <c r="L329" s="19"/>
      <c r="M329" s="51" t="s">
        <v>1047</v>
      </c>
      <c r="N329" s="51"/>
      <c r="O329" s="48"/>
      <c r="Q329" s="1"/>
    </row>
    <row r="330" spans="1:17" customFormat="1">
      <c r="A330" s="53"/>
      <c r="B330" s="119" t="s">
        <v>1070</v>
      </c>
      <c r="C330" s="118">
        <v>1</v>
      </c>
      <c r="D330" s="16" t="s">
        <v>1043</v>
      </c>
      <c r="E330" s="16" t="s">
        <v>1071</v>
      </c>
      <c r="F330" s="18"/>
      <c r="G330" s="18" t="s">
        <v>1044</v>
      </c>
      <c r="H330" s="18" t="s">
        <v>1072</v>
      </c>
      <c r="I330" s="18"/>
      <c r="J330" s="18"/>
      <c r="K330" s="18" t="s">
        <v>1046</v>
      </c>
      <c r="L330" s="19"/>
      <c r="M330" s="51" t="s">
        <v>1047</v>
      </c>
      <c r="N330" s="51"/>
      <c r="O330" s="48"/>
      <c r="Q330" s="1"/>
    </row>
    <row r="331" spans="1:17" customFormat="1">
      <c r="A331" s="53"/>
      <c r="B331" s="119" t="s">
        <v>1073</v>
      </c>
      <c r="C331" s="118">
        <v>1</v>
      </c>
      <c r="D331" s="16" t="s">
        <v>1043</v>
      </c>
      <c r="E331" s="16" t="s">
        <v>1074</v>
      </c>
      <c r="F331" s="18"/>
      <c r="G331" s="18" t="s">
        <v>1044</v>
      </c>
      <c r="H331" s="18" t="s">
        <v>1075</v>
      </c>
      <c r="I331" s="18"/>
      <c r="J331" s="18"/>
      <c r="K331" s="18" t="s">
        <v>1046</v>
      </c>
      <c r="L331" s="19"/>
      <c r="M331" s="51" t="s">
        <v>1047</v>
      </c>
      <c r="N331" s="51"/>
      <c r="O331" s="48"/>
      <c r="Q331" s="1"/>
    </row>
    <row r="332" spans="1:17" customFormat="1">
      <c r="A332" s="53"/>
      <c r="B332" s="119" t="s">
        <v>1076</v>
      </c>
      <c r="C332" s="118">
        <v>1</v>
      </c>
      <c r="D332" s="16" t="s">
        <v>1077</v>
      </c>
      <c r="E332" s="16" t="s">
        <v>1078</v>
      </c>
      <c r="F332" s="18" t="s">
        <v>1079</v>
      </c>
      <c r="G332" s="18" t="s">
        <v>1080</v>
      </c>
      <c r="H332" s="18" t="s">
        <v>1081</v>
      </c>
      <c r="I332" s="18"/>
      <c r="J332" s="18"/>
      <c r="K332" s="18" t="s">
        <v>38</v>
      </c>
      <c r="L332" s="56" t="s">
        <v>102</v>
      </c>
      <c r="M332" s="51" t="s">
        <v>102</v>
      </c>
      <c r="N332" s="51"/>
      <c r="O332" s="48"/>
      <c r="Q332" s="1"/>
    </row>
    <row r="333" spans="1:17" customFormat="1">
      <c r="A333" s="53"/>
      <c r="B333" s="119" t="s">
        <v>1082</v>
      </c>
      <c r="C333" s="118">
        <v>3</v>
      </c>
      <c r="D333" s="16"/>
      <c r="E333" s="16"/>
      <c r="F333" s="18"/>
      <c r="G333" s="18"/>
      <c r="H333" s="18"/>
      <c r="I333" s="18"/>
      <c r="J333" s="18"/>
      <c r="K333" s="65"/>
      <c r="L333" s="4"/>
      <c r="M333" s="127"/>
      <c r="N333" s="51"/>
      <c r="O333" s="48"/>
      <c r="Q333" s="1"/>
    </row>
    <row r="334" spans="1:17" s="126" customFormat="1">
      <c r="A334" s="121"/>
      <c r="B334" s="122" t="s">
        <v>1083</v>
      </c>
      <c r="C334" s="123">
        <v>1</v>
      </c>
      <c r="D334" s="54" t="s">
        <v>793</v>
      </c>
      <c r="E334" s="54" t="s">
        <v>1084</v>
      </c>
      <c r="F334" s="55" t="s">
        <v>1085</v>
      </c>
      <c r="G334" s="55" t="s">
        <v>1086</v>
      </c>
      <c r="H334" s="55" t="s">
        <v>1087</v>
      </c>
      <c r="I334" s="55"/>
      <c r="J334" s="55"/>
      <c r="K334" s="55" t="s">
        <v>38</v>
      </c>
      <c r="L334" s="19"/>
      <c r="M334" s="56" t="s">
        <v>102</v>
      </c>
      <c r="N334" s="56"/>
      <c r="O334" s="48"/>
      <c r="Q334" s="121"/>
    </row>
    <row r="335" spans="1:17" s="126" customFormat="1">
      <c r="A335" s="121"/>
      <c r="B335" s="122" t="s">
        <v>1083</v>
      </c>
      <c r="C335" s="123">
        <v>1</v>
      </c>
      <c r="D335" s="54" t="s">
        <v>793</v>
      </c>
      <c r="E335" s="54" t="s">
        <v>1084</v>
      </c>
      <c r="F335" s="55" t="s">
        <v>1088</v>
      </c>
      <c r="G335" s="55" t="s">
        <v>1086</v>
      </c>
      <c r="H335" s="55" t="s">
        <v>1089</v>
      </c>
      <c r="I335" s="55"/>
      <c r="J335" s="55"/>
      <c r="K335" s="55" t="s">
        <v>38</v>
      </c>
      <c r="L335" s="19"/>
      <c r="M335" s="56" t="s">
        <v>102</v>
      </c>
      <c r="N335" s="56"/>
      <c r="O335" s="48"/>
      <c r="Q335" s="121"/>
    </row>
    <row r="336" spans="1:17" customFormat="1">
      <c r="A336" s="53"/>
      <c r="B336" s="122" t="s">
        <v>1083</v>
      </c>
      <c r="C336" s="123">
        <v>1</v>
      </c>
      <c r="D336" s="54" t="s">
        <v>793</v>
      </c>
      <c r="E336" s="54" t="s">
        <v>1084</v>
      </c>
      <c r="F336" s="55" t="s">
        <v>1090</v>
      </c>
      <c r="G336" s="55" t="s">
        <v>1086</v>
      </c>
      <c r="H336" s="55" t="s">
        <v>1091</v>
      </c>
      <c r="I336" s="55"/>
      <c r="J336" s="55"/>
      <c r="K336" s="55" t="s">
        <v>38</v>
      </c>
      <c r="L336" s="19"/>
      <c r="M336" s="56" t="s">
        <v>102</v>
      </c>
      <c r="N336" s="56"/>
      <c r="O336" s="48"/>
      <c r="Q336" s="1"/>
    </row>
    <row r="337" spans="1:17" customFormat="1">
      <c r="A337" s="53"/>
      <c r="B337" s="119" t="s">
        <v>1092</v>
      </c>
      <c r="C337" s="118">
        <v>21</v>
      </c>
      <c r="D337" s="16"/>
      <c r="E337" s="16"/>
      <c r="F337" s="18"/>
      <c r="G337" s="18"/>
      <c r="H337" s="120"/>
      <c r="I337" s="18"/>
      <c r="J337" s="18"/>
      <c r="K337" s="18"/>
      <c r="L337" s="19"/>
      <c r="M337" s="51"/>
      <c r="N337" s="51"/>
      <c r="O337" s="48"/>
      <c r="Q337" s="1"/>
    </row>
    <row r="338" spans="1:17" customFormat="1">
      <c r="A338" s="128"/>
      <c r="B338" s="129" t="s">
        <v>1093</v>
      </c>
      <c r="C338" s="130">
        <v>3</v>
      </c>
      <c r="D338" s="59"/>
      <c r="E338" s="59"/>
      <c r="F338" s="60"/>
      <c r="G338" s="60"/>
      <c r="H338" s="120" t="s">
        <v>14</v>
      </c>
      <c r="I338" s="60"/>
      <c r="J338" s="60"/>
      <c r="K338" s="60"/>
      <c r="L338" s="61"/>
      <c r="M338" s="62"/>
      <c r="N338" s="62"/>
      <c r="O338" s="59">
        <v>0</v>
      </c>
      <c r="Q338" s="1"/>
    </row>
    <row r="339" spans="1:17" customFormat="1">
      <c r="A339" s="1"/>
      <c r="B339" s="27" t="s">
        <v>1094</v>
      </c>
      <c r="C339" s="27">
        <v>674</v>
      </c>
      <c r="D339" s="27"/>
      <c r="E339" s="27"/>
      <c r="F339" s="26"/>
      <c r="G339" s="26"/>
      <c r="H339" s="26"/>
      <c r="I339" s="26"/>
      <c r="J339" s="26"/>
      <c r="K339" s="26"/>
      <c r="L339" s="33"/>
      <c r="M339" s="35"/>
      <c r="N339" s="35"/>
      <c r="O339" s="30"/>
      <c r="Q339" s="1"/>
    </row>
    <row r="340" spans="1:17" customFormat="1">
      <c r="A340" s="1"/>
      <c r="B340" s="27" t="s">
        <v>1095</v>
      </c>
      <c r="C340" s="16">
        <f>C339+C341</f>
        <v>666</v>
      </c>
      <c r="D340" s="27"/>
      <c r="E340" s="27"/>
      <c r="F340" s="26"/>
      <c r="G340" s="26"/>
      <c r="H340" s="26"/>
      <c r="I340" s="26"/>
      <c r="J340" s="26"/>
      <c r="K340" s="26"/>
      <c r="L340" s="33"/>
      <c r="M340" s="35"/>
      <c r="N340" s="35"/>
      <c r="O340" s="30"/>
      <c r="Q340" s="1"/>
    </row>
    <row r="341" spans="1:17" customFormat="1">
      <c r="A341" s="1"/>
      <c r="B341" s="27" t="s">
        <v>1096</v>
      </c>
      <c r="C341" s="128">
        <v>-8</v>
      </c>
      <c r="D341" s="27"/>
      <c r="E341" s="27"/>
      <c r="F341" s="26"/>
      <c r="G341" s="26"/>
      <c r="H341" s="26"/>
      <c r="I341" s="26"/>
      <c r="J341" s="26"/>
      <c r="K341" s="26"/>
      <c r="L341" s="33"/>
      <c r="M341" s="35"/>
      <c r="N341" s="35"/>
      <c r="O341" s="27"/>
      <c r="Q341" s="1"/>
    </row>
    <row r="342" spans="1:17" customFormat="1">
      <c r="B342" s="131" t="s">
        <v>1097</v>
      </c>
      <c r="C342" s="132">
        <f>C340/C339</f>
        <v>0.98813056379821962</v>
      </c>
      <c r="D342" s="1"/>
      <c r="E342" s="1"/>
      <c r="F342" s="3"/>
      <c r="G342" s="3"/>
      <c r="H342" s="3"/>
      <c r="I342" s="3"/>
      <c r="J342" s="3"/>
      <c r="K342" s="3"/>
      <c r="L342" s="4"/>
      <c r="M342" s="5"/>
      <c r="N342" s="5"/>
      <c r="O342" s="133"/>
    </row>
  </sheetData>
  <autoFilter ref="A1:O2" xr:uid="{00000000-0009-0000-0000-000000000000}"/>
  <conditionalFormatting sqref="H185">
    <cfRule type="duplicateValues" dxfId="43" priority="3"/>
  </conditionalFormatting>
  <conditionalFormatting sqref="H332:H333">
    <cfRule type="duplicateValues" dxfId="42" priority="2"/>
  </conditionalFormatting>
  <conditionalFormatting sqref="I13">
    <cfRule type="duplicateValues" dxfId="41" priority="4"/>
  </conditionalFormatting>
  <conditionalFormatting sqref="I48">
    <cfRule type="duplicateValues" dxfId="40" priority="6"/>
  </conditionalFormatting>
  <conditionalFormatting sqref="I49">
    <cfRule type="duplicateValues" dxfId="39" priority="5"/>
  </conditionalFormatting>
  <conditionalFormatting sqref="I54:I59 I61:I62">
    <cfRule type="duplicateValues" dxfId="38" priority="10"/>
  </conditionalFormatting>
  <conditionalFormatting sqref="I111:I114">
    <cfRule type="duplicateValues" dxfId="37" priority="14"/>
  </conditionalFormatting>
  <conditionalFormatting sqref="I116:I120 I122:I135">
    <cfRule type="duplicateValues" dxfId="36" priority="9"/>
  </conditionalFormatting>
  <conditionalFormatting sqref="I181:I183">
    <cfRule type="duplicateValues" dxfId="35" priority="8"/>
  </conditionalFormatting>
  <conditionalFormatting sqref="I201">
    <cfRule type="duplicateValues" dxfId="34" priority="7"/>
  </conditionalFormatting>
  <conditionalFormatting sqref="I249 I4:I11 I2 I51:I52 I35:I47 I29:I33 I26:I27 I15:I22">
    <cfRule type="duplicateValues" dxfId="33" priority="12"/>
  </conditionalFormatting>
  <conditionalFormatting sqref="I285:I292 I224:I233 I221:I222 I198:I200 I196 I187:I193 I174 I166:I172 I154:I163 I150:I152 I142:I148 I281:I282 I274:I276 I270:I272 I266:I268 I263:I264 I252:I255 I245:I248 I242 I237:I238 I309:I310 I306:I307 I207:I209 I211:I219 I203:I205 I176:I180 I294:I298 I300:I304 I184 I312:I338">
    <cfRule type="duplicateValues" dxfId="32" priority="13"/>
  </conditionalFormatting>
  <conditionalFormatting sqref="I339:I2022 I71:I74 I76:I80 I86:I93 I83:I84">
    <cfRule type="duplicateValues" dxfId="31" priority="11"/>
  </conditionalFormatting>
  <pageMargins left="0.7" right="0.7" top="0.75" bottom="0.75" header="0.511811023622047" footer="0.3"/>
  <pageSetup scale="40" orientation="portrait" horizontalDpi="300" verticalDpi="300" r:id="rId1"/>
  <headerFooter>
    <oddFooter>&amp;RZLGDL-F0119 Rev. 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D9D9"/>
    <pageSetUpPr fitToPage="1"/>
  </sheetPr>
  <dimension ref="A1:D293"/>
  <sheetViews>
    <sheetView topLeftCell="D44" zoomScale="74" zoomScaleNormal="70" workbookViewId="0">
      <selection activeCell="C80" sqref="C80"/>
    </sheetView>
  </sheetViews>
  <sheetFormatPr defaultColWidth="9.140625" defaultRowHeight="15"/>
  <cols>
    <col min="1" max="1" width="43.5703125" style="6" customWidth="1"/>
    <col min="2" max="4" width="25.85546875" style="3" customWidth="1"/>
  </cols>
  <sheetData>
    <row r="1" spans="1:4" ht="18.75">
      <c r="A1" s="134" t="s">
        <v>1</v>
      </c>
      <c r="B1" s="10" t="s">
        <v>7</v>
      </c>
      <c r="C1" s="135" t="s">
        <v>1098</v>
      </c>
      <c r="D1" s="136" t="s">
        <v>1099</v>
      </c>
    </row>
    <row r="2" spans="1:4">
      <c r="A2" s="137" t="s">
        <v>64</v>
      </c>
      <c r="B2" s="26" t="s">
        <v>69</v>
      </c>
      <c r="C2" s="26"/>
      <c r="D2" s="138" t="s">
        <v>26</v>
      </c>
    </row>
    <row r="3" spans="1:4">
      <c r="A3" s="137" t="s">
        <v>64</v>
      </c>
      <c r="B3" s="26" t="s">
        <v>67</v>
      </c>
      <c r="C3" s="26"/>
      <c r="D3" s="138" t="s">
        <v>26</v>
      </c>
    </row>
    <row r="4" spans="1:4">
      <c r="A4" s="139" t="s">
        <v>942</v>
      </c>
      <c r="B4" s="18" t="s">
        <v>945</v>
      </c>
      <c r="C4" s="18"/>
      <c r="D4" s="140" t="s">
        <v>26</v>
      </c>
    </row>
    <row r="5" spans="1:4">
      <c r="A5" s="139" t="s">
        <v>705</v>
      </c>
      <c r="B5" s="18" t="s">
        <v>708</v>
      </c>
      <c r="C5" s="18"/>
      <c r="D5" s="140" t="s">
        <v>710</v>
      </c>
    </row>
    <row r="6" spans="1:4">
      <c r="A6" s="137" t="s">
        <v>72</v>
      </c>
      <c r="B6" s="26" t="s">
        <v>76</v>
      </c>
      <c r="C6" s="26"/>
      <c r="D6" s="141" t="s">
        <v>78</v>
      </c>
    </row>
    <row r="7" spans="1:4">
      <c r="A7" s="137" t="s">
        <v>72</v>
      </c>
      <c r="B7" s="26" t="s">
        <v>80</v>
      </c>
      <c r="C7" s="26"/>
      <c r="D7" s="141" t="s">
        <v>78</v>
      </c>
    </row>
    <row r="8" spans="1:4">
      <c r="A8" s="137" t="s">
        <v>82</v>
      </c>
      <c r="B8" s="26" t="s">
        <v>85</v>
      </c>
      <c r="C8" s="26"/>
      <c r="D8" s="141" t="s">
        <v>87</v>
      </c>
    </row>
    <row r="9" spans="1:4">
      <c r="A9" s="137" t="s">
        <v>82</v>
      </c>
      <c r="B9" s="26" t="s">
        <v>88</v>
      </c>
      <c r="C9" s="26"/>
      <c r="D9" s="141" t="s">
        <v>90</v>
      </c>
    </row>
    <row r="10" spans="1:4">
      <c r="A10" s="137" t="s">
        <v>82</v>
      </c>
      <c r="B10" s="26" t="s">
        <v>91</v>
      </c>
      <c r="C10" s="26"/>
      <c r="D10" s="141" t="s">
        <v>93</v>
      </c>
    </row>
    <row r="11" spans="1:4">
      <c r="A11" s="137" t="s">
        <v>82</v>
      </c>
      <c r="B11" s="26" t="s">
        <v>95</v>
      </c>
      <c r="C11" s="26"/>
      <c r="D11" s="141" t="s">
        <v>90</v>
      </c>
    </row>
    <row r="12" spans="1:4">
      <c r="A12" s="137" t="s">
        <v>82</v>
      </c>
      <c r="B12" s="26" t="s">
        <v>97</v>
      </c>
      <c r="C12" s="26"/>
      <c r="D12" s="141" t="s">
        <v>78</v>
      </c>
    </row>
    <row r="13" spans="1:4">
      <c r="A13" s="137" t="s">
        <v>99</v>
      </c>
      <c r="B13" s="26" t="s">
        <v>726</v>
      </c>
      <c r="C13" s="26"/>
      <c r="D13" s="141" t="s">
        <v>728</v>
      </c>
    </row>
    <row r="14" spans="1:4">
      <c r="A14" s="137" t="s">
        <v>99</v>
      </c>
      <c r="B14" s="26" t="s">
        <v>730</v>
      </c>
      <c r="C14" s="26"/>
      <c r="D14" s="141" t="s">
        <v>565</v>
      </c>
    </row>
    <row r="15" spans="1:4">
      <c r="A15" s="137" t="s">
        <v>99</v>
      </c>
      <c r="B15" s="26" t="s">
        <v>733</v>
      </c>
      <c r="C15" s="26"/>
      <c r="D15" s="141" t="s">
        <v>117</v>
      </c>
    </row>
    <row r="16" spans="1:4">
      <c r="A16" s="137" t="s">
        <v>99</v>
      </c>
      <c r="B16" s="26" t="s">
        <v>736</v>
      </c>
      <c r="C16" s="26"/>
      <c r="D16" s="141" t="s">
        <v>117</v>
      </c>
    </row>
    <row r="17" spans="1:4">
      <c r="A17" s="137" t="s">
        <v>99</v>
      </c>
      <c r="B17" s="26" t="s">
        <v>739</v>
      </c>
      <c r="C17" s="26"/>
      <c r="D17" s="141" t="s">
        <v>117</v>
      </c>
    </row>
    <row r="18" spans="1:4">
      <c r="A18" s="137" t="s">
        <v>99</v>
      </c>
      <c r="B18" s="26" t="s">
        <v>742</v>
      </c>
      <c r="C18" s="26"/>
      <c r="D18" s="141" t="s">
        <v>117</v>
      </c>
    </row>
    <row r="19" spans="1:4">
      <c r="A19" s="137" t="s">
        <v>99</v>
      </c>
      <c r="B19" s="26" t="s">
        <v>745</v>
      </c>
      <c r="C19" s="26"/>
      <c r="D19" s="141" t="s">
        <v>117</v>
      </c>
    </row>
    <row r="20" spans="1:4">
      <c r="A20" s="137" t="s">
        <v>99</v>
      </c>
      <c r="B20" s="26" t="s">
        <v>748</v>
      </c>
      <c r="C20" s="26"/>
      <c r="D20" s="141" t="s">
        <v>117</v>
      </c>
    </row>
    <row r="21" spans="1:4">
      <c r="A21" s="137" t="s">
        <v>99</v>
      </c>
      <c r="B21" s="26" t="s">
        <v>751</v>
      </c>
      <c r="C21" s="26"/>
      <c r="D21" s="141" t="s">
        <v>117</v>
      </c>
    </row>
    <row r="22" spans="1:4">
      <c r="A22" s="137" t="s">
        <v>99</v>
      </c>
      <c r="B22" s="26" t="s">
        <v>754</v>
      </c>
      <c r="C22" s="26"/>
      <c r="D22" s="141" t="s">
        <v>117</v>
      </c>
    </row>
    <row r="23" spans="1:4">
      <c r="A23" s="137" t="s">
        <v>99</v>
      </c>
      <c r="B23" s="26" t="s">
        <v>757</v>
      </c>
      <c r="C23" s="26"/>
      <c r="D23" s="141" t="s">
        <v>117</v>
      </c>
    </row>
    <row r="24" spans="1:4">
      <c r="A24" s="137" t="s">
        <v>99</v>
      </c>
      <c r="B24" s="26" t="s">
        <v>760</v>
      </c>
      <c r="C24" s="26"/>
      <c r="D24" s="141" t="s">
        <v>117</v>
      </c>
    </row>
    <row r="25" spans="1:4">
      <c r="A25" s="139" t="s">
        <v>762</v>
      </c>
      <c r="B25" s="18" t="s">
        <v>766</v>
      </c>
      <c r="C25" s="18"/>
      <c r="D25" s="142" t="s">
        <v>117</v>
      </c>
    </row>
    <row r="26" spans="1:4">
      <c r="A26" s="139" t="s">
        <v>415</v>
      </c>
      <c r="B26" s="18" t="s">
        <v>416</v>
      </c>
      <c r="C26" s="18"/>
      <c r="D26" s="140" t="s">
        <v>102</v>
      </c>
    </row>
    <row r="27" spans="1:4">
      <c r="A27" s="137" t="s">
        <v>100</v>
      </c>
      <c r="B27" s="26" t="s">
        <v>101</v>
      </c>
      <c r="C27" s="26"/>
      <c r="D27" s="143" t="s">
        <v>102</v>
      </c>
    </row>
    <row r="28" spans="1:4">
      <c r="A28" s="137" t="s">
        <v>100</v>
      </c>
      <c r="B28" s="26" t="s">
        <v>103</v>
      </c>
      <c r="C28" s="26"/>
      <c r="D28" s="143" t="s">
        <v>102</v>
      </c>
    </row>
    <row r="29" spans="1:4">
      <c r="A29" s="137" t="s">
        <v>768</v>
      </c>
      <c r="B29" s="26" t="s">
        <v>772</v>
      </c>
      <c r="C29" s="26"/>
      <c r="D29" s="141" t="s">
        <v>102</v>
      </c>
    </row>
    <row r="30" spans="1:4">
      <c r="A30" s="137" t="s">
        <v>768</v>
      </c>
      <c r="B30" s="26" t="s">
        <v>775</v>
      </c>
      <c r="C30" s="26"/>
      <c r="D30" s="141" t="s">
        <v>102</v>
      </c>
    </row>
    <row r="31" spans="1:4">
      <c r="A31" s="137" t="s">
        <v>768</v>
      </c>
      <c r="B31" s="26" t="s">
        <v>778</v>
      </c>
      <c r="C31" s="26"/>
      <c r="D31" s="141" t="s">
        <v>102</v>
      </c>
    </row>
    <row r="32" spans="1:4">
      <c r="A32" s="137" t="s">
        <v>768</v>
      </c>
      <c r="B32" s="26" t="s">
        <v>781</v>
      </c>
      <c r="C32" s="26"/>
      <c r="D32" s="141" t="s">
        <v>102</v>
      </c>
    </row>
    <row r="33" spans="1:4">
      <c r="A33" s="137" t="s">
        <v>768</v>
      </c>
      <c r="B33" s="26" t="s">
        <v>784</v>
      </c>
      <c r="C33" s="26"/>
      <c r="D33" s="141" t="s">
        <v>102</v>
      </c>
    </row>
    <row r="34" spans="1:4">
      <c r="A34" s="139" t="s">
        <v>786</v>
      </c>
      <c r="B34" s="18" t="s">
        <v>790</v>
      </c>
      <c r="C34" s="18"/>
      <c r="D34" s="142" t="s">
        <v>117</v>
      </c>
    </row>
    <row r="35" spans="1:4">
      <c r="A35" s="137" t="s">
        <v>104</v>
      </c>
      <c r="B35" s="26" t="s">
        <v>105</v>
      </c>
      <c r="C35" s="26"/>
      <c r="D35" s="143" t="s">
        <v>78</v>
      </c>
    </row>
    <row r="36" spans="1:4">
      <c r="A36" s="137" t="s">
        <v>104</v>
      </c>
      <c r="B36" s="144" t="s">
        <v>108</v>
      </c>
      <c r="C36" s="26"/>
      <c r="D36" s="143" t="s">
        <v>1100</v>
      </c>
    </row>
    <row r="37" spans="1:4">
      <c r="A37" s="139" t="s">
        <v>806</v>
      </c>
      <c r="B37" s="144" t="s">
        <v>808</v>
      </c>
      <c r="C37" s="18"/>
      <c r="D37" s="142" t="s">
        <v>1100</v>
      </c>
    </row>
    <row r="38" spans="1:4">
      <c r="A38" s="137" t="s">
        <v>111</v>
      </c>
      <c r="B38" s="26" t="s">
        <v>115</v>
      </c>
      <c r="C38" s="26"/>
      <c r="D38" s="141" t="s">
        <v>117</v>
      </c>
    </row>
    <row r="39" spans="1:4">
      <c r="A39" s="137" t="s">
        <v>111</v>
      </c>
      <c r="B39" s="26" t="s">
        <v>119</v>
      </c>
      <c r="C39" s="26"/>
      <c r="D39" s="141" t="s">
        <v>117</v>
      </c>
    </row>
    <row r="40" spans="1:4">
      <c r="A40" s="137" t="s">
        <v>111</v>
      </c>
      <c r="B40" s="26" t="s">
        <v>122</v>
      </c>
      <c r="C40" s="26"/>
      <c r="D40" s="141" t="s">
        <v>117</v>
      </c>
    </row>
    <row r="41" spans="1:4">
      <c r="A41" s="137" t="s">
        <v>111</v>
      </c>
      <c r="B41" s="26" t="s">
        <v>125</v>
      </c>
      <c r="C41" s="26"/>
      <c r="D41" s="141" t="s">
        <v>93</v>
      </c>
    </row>
    <row r="42" spans="1:4">
      <c r="A42" s="137" t="s">
        <v>947</v>
      </c>
      <c r="B42" s="26" t="s">
        <v>950</v>
      </c>
      <c r="C42" s="26"/>
      <c r="D42" s="141" t="s">
        <v>325</v>
      </c>
    </row>
    <row r="43" spans="1:4">
      <c r="A43" s="137" t="s">
        <v>947</v>
      </c>
      <c r="B43" s="26" t="s">
        <v>953</v>
      </c>
      <c r="C43" s="26"/>
      <c r="D43" s="141" t="s">
        <v>321</v>
      </c>
    </row>
    <row r="44" spans="1:4">
      <c r="A44" s="137" t="s">
        <v>947</v>
      </c>
      <c r="B44" s="26" t="s">
        <v>955</v>
      </c>
      <c r="C44" s="26"/>
      <c r="D44" s="141" t="s">
        <v>957</v>
      </c>
    </row>
    <row r="45" spans="1:4">
      <c r="A45" s="137" t="s">
        <v>947</v>
      </c>
      <c r="B45" s="26" t="s">
        <v>958</v>
      </c>
      <c r="C45" s="26"/>
      <c r="D45" s="141" t="s">
        <v>26</v>
      </c>
    </row>
    <row r="46" spans="1:4">
      <c r="A46" s="137" t="s">
        <v>947</v>
      </c>
      <c r="B46" s="26" t="s">
        <v>960</v>
      </c>
      <c r="C46" s="26"/>
      <c r="D46" s="141" t="s">
        <v>93</v>
      </c>
    </row>
    <row r="47" spans="1:4">
      <c r="A47" s="139" t="s">
        <v>962</v>
      </c>
      <c r="B47" s="18" t="s">
        <v>965</v>
      </c>
      <c r="C47" s="18"/>
      <c r="D47" s="142" t="s">
        <v>26</v>
      </c>
    </row>
    <row r="48" spans="1:4">
      <c r="A48" s="137" t="s">
        <v>326</v>
      </c>
      <c r="B48" s="26" t="s">
        <v>810</v>
      </c>
      <c r="C48" s="26"/>
      <c r="D48" s="141" t="s">
        <v>117</v>
      </c>
    </row>
    <row r="49" spans="1:4">
      <c r="A49" s="137" t="s">
        <v>326</v>
      </c>
      <c r="B49" s="55" t="s">
        <v>331</v>
      </c>
      <c r="C49" s="55"/>
      <c r="D49" s="141" t="s">
        <v>117</v>
      </c>
    </row>
    <row r="50" spans="1:4">
      <c r="A50" s="139" t="s">
        <v>982</v>
      </c>
      <c r="B50" s="144" t="s">
        <v>984</v>
      </c>
      <c r="C50" s="18"/>
      <c r="D50" s="142" t="s">
        <v>1101</v>
      </c>
    </row>
    <row r="51" spans="1:4">
      <c r="A51" s="139" t="s">
        <v>715</v>
      </c>
      <c r="B51" s="18" t="s">
        <v>719</v>
      </c>
      <c r="C51" s="18"/>
      <c r="D51" s="142" t="s">
        <v>117</v>
      </c>
    </row>
    <row r="52" spans="1:4">
      <c r="A52" s="137" t="s">
        <v>654</v>
      </c>
      <c r="B52" s="26" t="s">
        <v>656</v>
      </c>
      <c r="C52" s="26"/>
      <c r="D52" s="141" t="s">
        <v>658</v>
      </c>
    </row>
    <row r="53" spans="1:4">
      <c r="A53" s="137" t="s">
        <v>662</v>
      </c>
      <c r="B53" s="26" t="s">
        <v>664</v>
      </c>
      <c r="C53" s="26"/>
      <c r="D53" s="141" t="s">
        <v>658</v>
      </c>
    </row>
    <row r="54" spans="1:4">
      <c r="A54" s="137" t="s">
        <v>668</v>
      </c>
      <c r="B54" s="26" t="s">
        <v>670</v>
      </c>
      <c r="C54" s="26"/>
      <c r="D54" s="141" t="s">
        <v>658</v>
      </c>
    </row>
    <row r="55" spans="1:4">
      <c r="A55" s="139" t="s">
        <v>678</v>
      </c>
      <c r="B55" s="18" t="s">
        <v>679</v>
      </c>
      <c r="C55" s="18"/>
      <c r="D55" s="142" t="s">
        <v>1102</v>
      </c>
    </row>
    <row r="56" spans="1:4">
      <c r="A56" s="137" t="s">
        <v>128</v>
      </c>
      <c r="B56" s="26" t="s">
        <v>597</v>
      </c>
      <c r="C56" s="26"/>
      <c r="D56" s="141" t="s">
        <v>78</v>
      </c>
    </row>
    <row r="57" spans="1:4">
      <c r="A57" s="137" t="s">
        <v>128</v>
      </c>
      <c r="B57" s="26" t="s">
        <v>599</v>
      </c>
      <c r="C57" s="26"/>
      <c r="D57" s="141" t="s">
        <v>78</v>
      </c>
    </row>
    <row r="58" spans="1:4">
      <c r="A58" s="137" t="s">
        <v>128</v>
      </c>
      <c r="B58" s="26" t="s">
        <v>601</v>
      </c>
      <c r="C58" s="26"/>
      <c r="D58" s="141" t="s">
        <v>603</v>
      </c>
    </row>
    <row r="59" spans="1:4">
      <c r="A59" s="137" t="s">
        <v>128</v>
      </c>
      <c r="B59" s="26" t="s">
        <v>604</v>
      </c>
      <c r="C59" s="26"/>
      <c r="D59" s="141" t="s">
        <v>26</v>
      </c>
    </row>
    <row r="60" spans="1:4">
      <c r="A60" s="145" t="s">
        <v>610</v>
      </c>
      <c r="B60" s="18" t="s">
        <v>612</v>
      </c>
      <c r="C60" s="18"/>
      <c r="D60" s="146" t="s">
        <v>27</v>
      </c>
    </row>
    <row r="61" spans="1:4">
      <c r="A61" s="137" t="s">
        <v>130</v>
      </c>
      <c r="B61" s="26" t="s">
        <v>1103</v>
      </c>
      <c r="C61" s="26"/>
      <c r="D61" s="141" t="s">
        <v>78</v>
      </c>
    </row>
    <row r="62" spans="1:4">
      <c r="A62" s="137" t="s">
        <v>130</v>
      </c>
      <c r="B62" s="26" t="s">
        <v>1104</v>
      </c>
      <c r="C62" s="26"/>
      <c r="D62" s="141" t="s">
        <v>78</v>
      </c>
    </row>
    <row r="63" spans="1:4">
      <c r="A63" s="147" t="s">
        <v>130</v>
      </c>
      <c r="B63" s="148" t="s">
        <v>1105</v>
      </c>
      <c r="C63" s="148"/>
      <c r="D63" s="141" t="s">
        <v>78</v>
      </c>
    </row>
    <row r="64" spans="1:4">
      <c r="A64" s="137" t="s">
        <v>130</v>
      </c>
      <c r="B64" s="26" t="s">
        <v>1106</v>
      </c>
      <c r="C64" s="45"/>
      <c r="D64" s="141" t="s">
        <v>1107</v>
      </c>
    </row>
    <row r="65" spans="1:4">
      <c r="A65" s="137" t="s">
        <v>130</v>
      </c>
      <c r="B65" s="26" t="s">
        <v>1108</v>
      </c>
      <c r="C65" s="45"/>
      <c r="D65" s="141" t="s">
        <v>78</v>
      </c>
    </row>
    <row r="66" spans="1:4">
      <c r="A66" s="149" t="s">
        <v>812</v>
      </c>
      <c r="B66" s="26" t="s">
        <v>814</v>
      </c>
      <c r="C66" s="45"/>
      <c r="D66" s="141" t="s">
        <v>102</v>
      </c>
    </row>
    <row r="67" spans="1:4">
      <c r="A67" s="149" t="s">
        <v>812</v>
      </c>
      <c r="B67" s="26" t="s">
        <v>817</v>
      </c>
      <c r="C67" s="45"/>
      <c r="D67" s="141" t="s">
        <v>102</v>
      </c>
    </row>
    <row r="68" spans="1:4">
      <c r="A68" s="150" t="s">
        <v>819</v>
      </c>
      <c r="B68" s="60" t="s">
        <v>823</v>
      </c>
      <c r="C68" s="45"/>
      <c r="D68" s="138"/>
    </row>
    <row r="69" spans="1:4">
      <c r="A69" s="139" t="s">
        <v>487</v>
      </c>
      <c r="B69" s="18" t="s">
        <v>491</v>
      </c>
      <c r="C69" s="45"/>
      <c r="D69" s="138" t="s">
        <v>93</v>
      </c>
    </row>
    <row r="70" spans="1:4">
      <c r="A70" s="139" t="s">
        <v>1109</v>
      </c>
      <c r="B70" s="18" t="s">
        <v>1110</v>
      </c>
      <c r="C70" s="45"/>
      <c r="D70" s="138" t="s">
        <v>102</v>
      </c>
    </row>
    <row r="71" spans="1:4">
      <c r="A71" s="139" t="s">
        <v>824</v>
      </c>
      <c r="B71" s="18" t="s">
        <v>827</v>
      </c>
      <c r="C71" s="45"/>
      <c r="D71" s="138" t="s">
        <v>117</v>
      </c>
    </row>
    <row r="72" spans="1:4">
      <c r="A72" s="137" t="s">
        <v>358</v>
      </c>
      <c r="B72" s="26" t="s">
        <v>360</v>
      </c>
      <c r="C72" s="45"/>
      <c r="D72" s="141" t="s">
        <v>117</v>
      </c>
    </row>
    <row r="73" spans="1:4">
      <c r="A73" s="137" t="s">
        <v>358</v>
      </c>
      <c r="B73" s="26" t="s">
        <v>363</v>
      </c>
      <c r="C73" s="45"/>
      <c r="D73" s="141" t="s">
        <v>117</v>
      </c>
    </row>
    <row r="74" spans="1:4">
      <c r="A74" s="139" t="s">
        <v>417</v>
      </c>
      <c r="B74" s="18" t="s">
        <v>421</v>
      </c>
      <c r="C74" s="45"/>
      <c r="D74" s="138" t="s">
        <v>423</v>
      </c>
    </row>
    <row r="75" spans="1:4">
      <c r="A75" s="137" t="s">
        <v>146</v>
      </c>
      <c r="B75" s="26" t="s">
        <v>150</v>
      </c>
      <c r="C75" s="45"/>
      <c r="D75" s="141" t="s">
        <v>152</v>
      </c>
    </row>
    <row r="76" spans="1:4">
      <c r="A76" s="137" t="s">
        <v>146</v>
      </c>
      <c r="B76" s="26" t="s">
        <v>154</v>
      </c>
      <c r="C76" s="45"/>
      <c r="D76" s="141" t="s">
        <v>152</v>
      </c>
    </row>
    <row r="77" spans="1:4">
      <c r="A77" s="137" t="s">
        <v>146</v>
      </c>
      <c r="B77" s="26" t="s">
        <v>158</v>
      </c>
      <c r="C77" s="45"/>
      <c r="D77" s="141" t="s">
        <v>152</v>
      </c>
    </row>
    <row r="78" spans="1:4">
      <c r="A78" s="137" t="s">
        <v>146</v>
      </c>
      <c r="B78" s="26" t="s">
        <v>160</v>
      </c>
      <c r="C78" s="45"/>
      <c r="D78" s="141" t="s">
        <v>152</v>
      </c>
    </row>
    <row r="79" spans="1:4">
      <c r="A79" s="137" t="s">
        <v>161</v>
      </c>
      <c r="B79" s="144" t="s">
        <v>496</v>
      </c>
      <c r="C79" s="138"/>
      <c r="D79" s="138" t="s">
        <v>590</v>
      </c>
    </row>
    <row r="80" spans="1:4">
      <c r="A80" s="137" t="s">
        <v>161</v>
      </c>
      <c r="B80" s="26" t="s">
        <v>501</v>
      </c>
      <c r="C80" s="45"/>
      <c r="D80" s="141" t="s">
        <v>503</v>
      </c>
    </row>
    <row r="81" spans="1:4">
      <c r="A81" s="137" t="s">
        <v>161</v>
      </c>
      <c r="B81" s="26" t="s">
        <v>506</v>
      </c>
      <c r="C81" s="45"/>
      <c r="D81" s="141" t="s">
        <v>508</v>
      </c>
    </row>
    <row r="82" spans="1:4">
      <c r="A82" s="137" t="s">
        <v>161</v>
      </c>
      <c r="B82" s="26" t="s">
        <v>512</v>
      </c>
      <c r="C82" s="45"/>
      <c r="D82" s="141" t="s">
        <v>102</v>
      </c>
    </row>
    <row r="83" spans="1:4">
      <c r="A83" s="137" t="s">
        <v>161</v>
      </c>
      <c r="B83" s="144" t="s">
        <v>515</v>
      </c>
      <c r="C83" s="138"/>
      <c r="D83" s="138" t="s">
        <v>590</v>
      </c>
    </row>
    <row r="84" spans="1:4">
      <c r="A84" s="139" t="s">
        <v>517</v>
      </c>
      <c r="B84" s="18" t="s">
        <v>520</v>
      </c>
      <c r="C84" s="45"/>
      <c r="D84" s="138" t="s">
        <v>93</v>
      </c>
    </row>
    <row r="85" spans="1:4">
      <c r="A85" s="139" t="s">
        <v>354</v>
      </c>
      <c r="B85" s="18" t="s">
        <v>356</v>
      </c>
      <c r="C85" s="45"/>
      <c r="D85" s="138" t="s">
        <v>102</v>
      </c>
    </row>
    <row r="86" spans="1:4">
      <c r="A86" s="139" t="s">
        <v>914</v>
      </c>
      <c r="B86" s="18" t="s">
        <v>917</v>
      </c>
      <c r="C86" s="45"/>
      <c r="D86" s="138" t="s">
        <v>918</v>
      </c>
    </row>
    <row r="87" spans="1:4">
      <c r="A87" s="139" t="s">
        <v>532</v>
      </c>
      <c r="B87" s="18" t="s">
        <v>536</v>
      </c>
      <c r="C87" s="45"/>
      <c r="D87" s="138" t="s">
        <v>93</v>
      </c>
    </row>
    <row r="88" spans="1:4">
      <c r="A88" s="137" t="s">
        <v>446</v>
      </c>
      <c r="B88" s="26" t="s">
        <v>456</v>
      </c>
      <c r="C88" s="45"/>
      <c r="D88" s="141" t="s">
        <v>458</v>
      </c>
    </row>
    <row r="89" spans="1:4">
      <c r="A89" s="137" t="s">
        <v>446</v>
      </c>
      <c r="B89" s="26" t="s">
        <v>459</v>
      </c>
      <c r="C89" s="45"/>
      <c r="D89" s="141" t="s">
        <v>458</v>
      </c>
    </row>
    <row r="90" spans="1:4">
      <c r="A90" s="137" t="s">
        <v>446</v>
      </c>
      <c r="B90" s="26" t="s">
        <v>461</v>
      </c>
      <c r="C90" s="45"/>
      <c r="D90" s="141" t="s">
        <v>458</v>
      </c>
    </row>
    <row r="91" spans="1:4">
      <c r="A91" s="137" t="s">
        <v>446</v>
      </c>
      <c r="B91" s="26" t="s">
        <v>463</v>
      </c>
      <c r="C91" s="45"/>
      <c r="D91" s="141" t="s">
        <v>458</v>
      </c>
    </row>
    <row r="92" spans="1:4">
      <c r="A92" s="137" t="s">
        <v>446</v>
      </c>
      <c r="B92" s="26" t="s">
        <v>465</v>
      </c>
      <c r="C92" s="45"/>
      <c r="D92" s="141" t="s">
        <v>458</v>
      </c>
    </row>
    <row r="93" spans="1:4">
      <c r="A93" s="137" t="s">
        <v>446</v>
      </c>
      <c r="B93" s="26" t="s">
        <v>467</v>
      </c>
      <c r="C93" s="45"/>
      <c r="D93" s="141" t="s">
        <v>458</v>
      </c>
    </row>
    <row r="94" spans="1:4">
      <c r="A94" s="137" t="s">
        <v>446</v>
      </c>
      <c r="B94" s="26" t="s">
        <v>469</v>
      </c>
      <c r="C94" s="45"/>
      <c r="D94" s="141" t="s">
        <v>458</v>
      </c>
    </row>
    <row r="95" spans="1:4">
      <c r="A95" s="137" t="s">
        <v>446</v>
      </c>
      <c r="B95" s="26" t="s">
        <v>471</v>
      </c>
      <c r="C95" s="45"/>
      <c r="D95" s="141" t="s">
        <v>458</v>
      </c>
    </row>
    <row r="96" spans="1:4">
      <c r="A96" s="139" t="s">
        <v>473</v>
      </c>
      <c r="B96" s="18" t="s">
        <v>474</v>
      </c>
      <c r="C96" s="45"/>
      <c r="D96" s="138" t="s">
        <v>1111</v>
      </c>
    </row>
    <row r="97" spans="1:4">
      <c r="A97" s="139" t="s">
        <v>537</v>
      </c>
      <c r="B97" s="18" t="s">
        <v>540</v>
      </c>
      <c r="C97" s="45"/>
      <c r="D97" s="138" t="s">
        <v>93</v>
      </c>
    </row>
    <row r="98" spans="1:4">
      <c r="A98" s="139" t="s">
        <v>541</v>
      </c>
      <c r="B98" s="18" t="s">
        <v>544</v>
      </c>
      <c r="C98" s="45"/>
      <c r="D98" s="138" t="s">
        <v>93</v>
      </c>
    </row>
    <row r="99" spans="1:4">
      <c r="A99" s="137" t="s">
        <v>162</v>
      </c>
      <c r="B99" s="55" t="s">
        <v>167</v>
      </c>
      <c r="C99" s="45"/>
      <c r="D99" s="141" t="s">
        <v>169</v>
      </c>
    </row>
    <row r="100" spans="1:4">
      <c r="A100" s="137" t="s">
        <v>162</v>
      </c>
      <c r="B100" s="144" t="s">
        <v>171</v>
      </c>
      <c r="C100" s="45"/>
      <c r="D100" s="141" t="s">
        <v>102</v>
      </c>
    </row>
    <row r="101" spans="1:4">
      <c r="A101" s="137" t="s">
        <v>162</v>
      </c>
      <c r="B101" s="55" t="s">
        <v>174</v>
      </c>
      <c r="C101" s="45"/>
      <c r="D101" s="141" t="s">
        <v>78</v>
      </c>
    </row>
    <row r="102" spans="1:4">
      <c r="A102" s="137" t="s">
        <v>162</v>
      </c>
      <c r="B102" s="55" t="s">
        <v>177</v>
      </c>
      <c r="C102" s="45"/>
      <c r="D102" s="141" t="s">
        <v>78</v>
      </c>
    </row>
    <row r="103" spans="1:4">
      <c r="A103" s="137" t="s">
        <v>162</v>
      </c>
      <c r="B103" s="55" t="s">
        <v>180</v>
      </c>
      <c r="C103" s="45"/>
      <c r="D103" s="141" t="s">
        <v>102</v>
      </c>
    </row>
    <row r="104" spans="1:4">
      <c r="A104" s="137" t="s">
        <v>162</v>
      </c>
      <c r="B104" s="55" t="s">
        <v>183</v>
      </c>
      <c r="C104" s="45"/>
      <c r="D104" s="141" t="s">
        <v>185</v>
      </c>
    </row>
    <row r="105" spans="1:4">
      <c r="A105" s="139" t="s">
        <v>186</v>
      </c>
      <c r="B105" s="18" t="s">
        <v>190</v>
      </c>
      <c r="C105" s="45"/>
      <c r="D105" s="138" t="s">
        <v>15</v>
      </c>
    </row>
    <row r="106" spans="1:4">
      <c r="A106" s="139" t="s">
        <v>829</v>
      </c>
      <c r="B106" s="18" t="s">
        <v>832</v>
      </c>
      <c r="C106" s="45"/>
      <c r="D106" s="138" t="s">
        <v>117</v>
      </c>
    </row>
    <row r="107" spans="1:4">
      <c r="A107" s="137" t="s">
        <v>191</v>
      </c>
      <c r="B107" s="26" t="s">
        <v>195</v>
      </c>
      <c r="C107" s="45"/>
      <c r="D107" s="151" t="s">
        <v>117</v>
      </c>
    </row>
    <row r="108" spans="1:4">
      <c r="A108" s="137" t="s">
        <v>191</v>
      </c>
      <c r="B108" s="26" t="s">
        <v>198</v>
      </c>
      <c r="C108" s="45"/>
      <c r="D108" s="151" t="s">
        <v>117</v>
      </c>
    </row>
    <row r="109" spans="1:4">
      <c r="A109" s="137" t="s">
        <v>191</v>
      </c>
      <c r="B109" s="26" t="s">
        <v>201</v>
      </c>
      <c r="C109" s="45"/>
      <c r="D109" s="151" t="s">
        <v>117</v>
      </c>
    </row>
    <row r="110" spans="1:4">
      <c r="A110" s="137" t="s">
        <v>191</v>
      </c>
      <c r="B110" s="26" t="s">
        <v>204</v>
      </c>
      <c r="C110" s="45"/>
      <c r="D110" s="151" t="s">
        <v>117</v>
      </c>
    </row>
    <row r="111" spans="1:4">
      <c r="A111" s="137" t="s">
        <v>191</v>
      </c>
      <c r="B111" s="26" t="s">
        <v>206</v>
      </c>
      <c r="C111" s="45"/>
      <c r="D111" s="151" t="s">
        <v>117</v>
      </c>
    </row>
    <row r="112" spans="1:4">
      <c r="A112" s="150" t="s">
        <v>191</v>
      </c>
      <c r="B112" s="60" t="s">
        <v>218</v>
      </c>
      <c r="C112" s="45"/>
      <c r="D112" s="138"/>
    </row>
    <row r="113" spans="1:4">
      <c r="A113" s="139" t="s">
        <v>31</v>
      </c>
      <c r="B113" s="18"/>
      <c r="C113" s="45"/>
      <c r="D113" s="138"/>
    </row>
    <row r="114" spans="1:4">
      <c r="A114" s="137" t="s">
        <v>31</v>
      </c>
      <c r="B114" s="144" t="s">
        <v>36</v>
      </c>
      <c r="C114" s="45"/>
      <c r="D114" s="138" t="s">
        <v>1112</v>
      </c>
    </row>
    <row r="115" spans="1:4">
      <c r="A115" s="137" t="s">
        <v>31</v>
      </c>
      <c r="B115" s="144" t="s">
        <v>338</v>
      </c>
      <c r="C115" s="45"/>
      <c r="D115" s="138" t="s">
        <v>1112</v>
      </c>
    </row>
    <row r="116" spans="1:4">
      <c r="A116" s="137" t="s">
        <v>31</v>
      </c>
      <c r="B116" s="144" t="s">
        <v>366</v>
      </c>
      <c r="C116" s="45"/>
      <c r="D116" s="138" t="s">
        <v>1112</v>
      </c>
    </row>
    <row r="117" spans="1:4">
      <c r="A117" s="137" t="s">
        <v>31</v>
      </c>
      <c r="B117" s="144" t="s">
        <v>369</v>
      </c>
      <c r="C117" s="45"/>
      <c r="D117" s="138" t="s">
        <v>1112</v>
      </c>
    </row>
    <row r="118" spans="1:4">
      <c r="A118" s="137" t="s">
        <v>31</v>
      </c>
      <c r="B118" s="26" t="s">
        <v>372</v>
      </c>
      <c r="C118" s="45"/>
      <c r="D118" s="138" t="s">
        <v>262</v>
      </c>
    </row>
    <row r="119" spans="1:4">
      <c r="A119" s="137" t="s">
        <v>31</v>
      </c>
      <c r="B119" s="144" t="s">
        <v>375</v>
      </c>
      <c r="C119" s="45"/>
      <c r="D119" s="138" t="s">
        <v>1112</v>
      </c>
    </row>
    <row r="120" spans="1:4">
      <c r="A120" s="137" t="s">
        <v>31</v>
      </c>
      <c r="B120" s="144" t="s">
        <v>378</v>
      </c>
      <c r="C120" s="45"/>
      <c r="D120" s="138" t="s">
        <v>1112</v>
      </c>
    </row>
    <row r="121" spans="1:4">
      <c r="A121" s="152" t="s">
        <v>380</v>
      </c>
      <c r="B121" s="60" t="s">
        <v>381</v>
      </c>
      <c r="C121" s="45"/>
      <c r="D121" s="138"/>
    </row>
    <row r="122" spans="1:4">
      <c r="A122" s="153" t="s">
        <v>221</v>
      </c>
      <c r="B122" s="26" t="s">
        <v>222</v>
      </c>
      <c r="C122" s="45"/>
      <c r="D122" s="154" t="s">
        <v>224</v>
      </c>
    </row>
    <row r="123" spans="1:4">
      <c r="A123" s="153" t="s">
        <v>221</v>
      </c>
      <c r="B123" s="26" t="s">
        <v>225</v>
      </c>
      <c r="C123" s="45"/>
      <c r="D123" s="154" t="s">
        <v>227</v>
      </c>
    </row>
    <row r="124" spans="1:4">
      <c r="A124" s="153" t="s">
        <v>221</v>
      </c>
      <c r="B124" s="26" t="s">
        <v>228</v>
      </c>
      <c r="C124" s="45"/>
      <c r="D124" s="155" t="s">
        <v>230</v>
      </c>
    </row>
    <row r="125" spans="1:4">
      <c r="A125" s="147" t="s">
        <v>221</v>
      </c>
      <c r="B125" s="156" t="s">
        <v>231</v>
      </c>
      <c r="C125" s="157"/>
      <c r="D125" s="158" t="s">
        <v>590</v>
      </c>
    </row>
    <row r="126" spans="1:4">
      <c r="A126" s="137" t="s">
        <v>232</v>
      </c>
      <c r="B126" s="26" t="s">
        <v>234</v>
      </c>
      <c r="C126" s="79"/>
      <c r="D126" s="141" t="s">
        <v>236</v>
      </c>
    </row>
    <row r="127" spans="1:4">
      <c r="A127" s="137" t="s">
        <v>232</v>
      </c>
      <c r="B127" s="26" t="s">
        <v>238</v>
      </c>
      <c r="C127" s="79"/>
      <c r="D127" s="141" t="s">
        <v>26</v>
      </c>
    </row>
    <row r="128" spans="1:4">
      <c r="A128" s="137" t="s">
        <v>232</v>
      </c>
      <c r="B128" s="26" t="s">
        <v>241</v>
      </c>
      <c r="C128" s="79"/>
      <c r="D128" s="141" t="s">
        <v>78</v>
      </c>
    </row>
    <row r="129" spans="1:4">
      <c r="A129" s="137" t="s">
        <v>243</v>
      </c>
      <c r="B129" s="26" t="s">
        <v>546</v>
      </c>
      <c r="C129" s="79"/>
      <c r="D129" s="141" t="s">
        <v>117</v>
      </c>
    </row>
    <row r="130" spans="1:4">
      <c r="A130" s="137" t="s">
        <v>243</v>
      </c>
      <c r="B130" s="26" t="s">
        <v>550</v>
      </c>
      <c r="C130" s="79"/>
      <c r="D130" s="141" t="s">
        <v>117</v>
      </c>
    </row>
    <row r="131" spans="1:4">
      <c r="A131" s="137" t="s">
        <v>243</v>
      </c>
      <c r="B131" s="26" t="s">
        <v>553</v>
      </c>
      <c r="C131" s="79"/>
      <c r="D131" s="141" t="s">
        <v>117</v>
      </c>
    </row>
    <row r="132" spans="1:4">
      <c r="A132" s="137" t="s">
        <v>243</v>
      </c>
      <c r="B132" s="26" t="s">
        <v>556</v>
      </c>
      <c r="C132" s="79"/>
      <c r="D132" s="141" t="s">
        <v>169</v>
      </c>
    </row>
    <row r="133" spans="1:4">
      <c r="A133" s="137" t="s">
        <v>243</v>
      </c>
      <c r="B133" s="26" t="s">
        <v>559</v>
      </c>
      <c r="C133" s="79"/>
      <c r="D133" s="141" t="s">
        <v>561</v>
      </c>
    </row>
    <row r="134" spans="1:4">
      <c r="A134" s="137" t="s">
        <v>243</v>
      </c>
      <c r="B134" s="26" t="s">
        <v>563</v>
      </c>
      <c r="C134" s="79"/>
      <c r="D134" s="141" t="s">
        <v>565</v>
      </c>
    </row>
    <row r="135" spans="1:4">
      <c r="A135" s="137" t="s">
        <v>243</v>
      </c>
      <c r="B135" s="26" t="s">
        <v>567</v>
      </c>
      <c r="C135" s="79"/>
      <c r="D135" s="141" t="s">
        <v>117</v>
      </c>
    </row>
    <row r="136" spans="1:4">
      <c r="A136" s="137" t="s">
        <v>243</v>
      </c>
      <c r="B136" s="26" t="s">
        <v>570</v>
      </c>
      <c r="C136" s="79"/>
      <c r="D136" s="141" t="s">
        <v>117</v>
      </c>
    </row>
    <row r="137" spans="1:4">
      <c r="A137" s="137" t="s">
        <v>243</v>
      </c>
      <c r="B137" s="26" t="s">
        <v>573</v>
      </c>
      <c r="C137" s="79"/>
      <c r="D137" s="141" t="s">
        <v>102</v>
      </c>
    </row>
    <row r="138" spans="1:4">
      <c r="A138" s="137" t="s">
        <v>243</v>
      </c>
      <c r="B138" s="26" t="s">
        <v>576</v>
      </c>
      <c r="C138" s="79"/>
      <c r="D138" s="141" t="s">
        <v>117</v>
      </c>
    </row>
    <row r="139" spans="1:4">
      <c r="A139" s="139" t="s">
        <v>579</v>
      </c>
      <c r="B139" s="18" t="s">
        <v>583</v>
      </c>
      <c r="C139" s="79"/>
      <c r="D139" s="159" t="s">
        <v>93</v>
      </c>
    </row>
    <row r="140" spans="1:4">
      <c r="A140" s="139" t="s">
        <v>839</v>
      </c>
      <c r="B140" s="18" t="s">
        <v>843</v>
      </c>
      <c r="C140" s="79"/>
      <c r="D140" s="159" t="s">
        <v>117</v>
      </c>
    </row>
    <row r="141" spans="1:4">
      <c r="A141" s="139" t="s">
        <v>584</v>
      </c>
      <c r="B141" s="144" t="s">
        <v>588</v>
      </c>
      <c r="C141" s="79"/>
      <c r="D141" s="159" t="s">
        <v>590</v>
      </c>
    </row>
    <row r="142" spans="1:4">
      <c r="A142" s="137" t="s">
        <v>246</v>
      </c>
      <c r="B142" s="26" t="s">
        <v>614</v>
      </c>
      <c r="C142" s="79"/>
      <c r="D142" s="141" t="s">
        <v>117</v>
      </c>
    </row>
    <row r="143" spans="1:4">
      <c r="A143" s="137" t="s">
        <v>246</v>
      </c>
      <c r="B143" s="26" t="s">
        <v>617</v>
      </c>
      <c r="C143" s="79"/>
      <c r="D143" s="141" t="s">
        <v>619</v>
      </c>
    </row>
    <row r="144" spans="1:4">
      <c r="A144" s="137" t="s">
        <v>246</v>
      </c>
      <c r="B144" s="26" t="s">
        <v>621</v>
      </c>
      <c r="C144" s="79"/>
      <c r="D144" s="141" t="s">
        <v>117</v>
      </c>
    </row>
    <row r="145" spans="1:4">
      <c r="A145" s="137" t="s">
        <v>246</v>
      </c>
      <c r="B145" s="26" t="s">
        <v>624</v>
      </c>
      <c r="C145" s="79"/>
      <c r="D145" s="141" t="s">
        <v>626</v>
      </c>
    </row>
    <row r="146" spans="1:4">
      <c r="A146" s="137" t="s">
        <v>246</v>
      </c>
      <c r="B146" s="26" t="s">
        <v>628</v>
      </c>
      <c r="C146" s="79"/>
      <c r="D146" s="141" t="s">
        <v>626</v>
      </c>
    </row>
    <row r="147" spans="1:4">
      <c r="A147" s="137" t="s">
        <v>246</v>
      </c>
      <c r="B147" s="26" t="s">
        <v>631</v>
      </c>
      <c r="C147" s="79"/>
      <c r="D147" s="141" t="s">
        <v>626</v>
      </c>
    </row>
    <row r="148" spans="1:4">
      <c r="A148" s="137" t="s">
        <v>246</v>
      </c>
      <c r="B148" s="26" t="s">
        <v>634</v>
      </c>
      <c r="C148" s="79"/>
      <c r="D148" s="141" t="s">
        <v>117</v>
      </c>
    </row>
    <row r="149" spans="1:4">
      <c r="A149" s="137" t="s">
        <v>246</v>
      </c>
      <c r="B149" s="26" t="s">
        <v>637</v>
      </c>
      <c r="C149" s="79"/>
      <c r="D149" s="141" t="s">
        <v>117</v>
      </c>
    </row>
    <row r="150" spans="1:4">
      <c r="A150" s="137" t="s">
        <v>246</v>
      </c>
      <c r="B150" s="26" t="s">
        <v>640</v>
      </c>
      <c r="C150" s="79"/>
      <c r="D150" s="141" t="s">
        <v>117</v>
      </c>
    </row>
    <row r="151" spans="1:4">
      <c r="A151" s="137" t="s">
        <v>246</v>
      </c>
      <c r="B151" s="26" t="s">
        <v>643</v>
      </c>
      <c r="C151" s="79"/>
      <c r="D151" s="141" t="s">
        <v>117</v>
      </c>
    </row>
    <row r="152" spans="1:4">
      <c r="A152" s="139" t="s">
        <v>645</v>
      </c>
      <c r="B152" s="18" t="s">
        <v>646</v>
      </c>
      <c r="C152" s="79"/>
      <c r="D152" s="159" t="s">
        <v>27</v>
      </c>
    </row>
    <row r="153" spans="1:4">
      <c r="A153" s="137" t="s">
        <v>701</v>
      </c>
      <c r="B153" s="55" t="s">
        <v>846</v>
      </c>
      <c r="C153" s="79"/>
      <c r="D153" s="151" t="s">
        <v>117</v>
      </c>
    </row>
    <row r="154" spans="1:4">
      <c r="A154" s="137" t="s">
        <v>701</v>
      </c>
      <c r="B154" s="55" t="s">
        <v>849</v>
      </c>
      <c r="C154" s="79"/>
      <c r="D154" s="141" t="s">
        <v>851</v>
      </c>
    </row>
    <row r="155" spans="1:4">
      <c r="A155" s="139" t="s">
        <v>852</v>
      </c>
      <c r="B155" s="18" t="s">
        <v>853</v>
      </c>
      <c r="C155" s="79"/>
      <c r="D155" s="159" t="s">
        <v>117</v>
      </c>
    </row>
    <row r="156" spans="1:4">
      <c r="A156" s="139" t="s">
        <v>248</v>
      </c>
      <c r="B156" s="18" t="s">
        <v>249</v>
      </c>
      <c r="C156" s="79"/>
      <c r="D156" s="159" t="s">
        <v>15</v>
      </c>
    </row>
    <row r="157" spans="1:4">
      <c r="A157" s="139" t="s">
        <v>854</v>
      </c>
      <c r="B157" s="18" t="s">
        <v>855</v>
      </c>
      <c r="C157" s="79"/>
      <c r="D157" s="159" t="s">
        <v>117</v>
      </c>
    </row>
    <row r="158" spans="1:4">
      <c r="A158" s="139" t="s">
        <v>647</v>
      </c>
      <c r="B158" s="18" t="s">
        <v>648</v>
      </c>
      <c r="C158" s="79"/>
      <c r="D158" s="159" t="s">
        <v>27</v>
      </c>
    </row>
    <row r="159" spans="1:4">
      <c r="A159" s="137" t="s">
        <v>856</v>
      </c>
      <c r="B159" s="26" t="s">
        <v>857</v>
      </c>
      <c r="C159" s="79"/>
      <c r="D159" s="141" t="s">
        <v>102</v>
      </c>
    </row>
    <row r="160" spans="1:4">
      <c r="A160" s="153" t="s">
        <v>856</v>
      </c>
      <c r="B160" s="26" t="s">
        <v>859</v>
      </c>
      <c r="C160" s="79"/>
      <c r="D160" s="155" t="s">
        <v>102</v>
      </c>
    </row>
    <row r="161" spans="1:4">
      <c r="A161" s="137" t="s">
        <v>856</v>
      </c>
      <c r="B161" s="26" t="s">
        <v>861</v>
      </c>
      <c r="C161" s="79"/>
      <c r="D161" s="141" t="s">
        <v>93</v>
      </c>
    </row>
    <row r="162" spans="1:4">
      <c r="A162" s="137" t="s">
        <v>863</v>
      </c>
      <c r="B162" s="55" t="s">
        <v>866</v>
      </c>
      <c r="C162" s="79"/>
      <c r="D162" s="141" t="s">
        <v>102</v>
      </c>
    </row>
    <row r="163" spans="1:4">
      <c r="A163" s="139" t="s">
        <v>868</v>
      </c>
      <c r="B163" s="18" t="s">
        <v>869</v>
      </c>
      <c r="C163" s="79"/>
      <c r="D163" s="159" t="s">
        <v>117</v>
      </c>
    </row>
    <row r="164" spans="1:4">
      <c r="A164" s="139" t="s">
        <v>870</v>
      </c>
      <c r="B164" s="18" t="s">
        <v>871</v>
      </c>
      <c r="C164" s="79"/>
      <c r="D164" s="159" t="s">
        <v>117</v>
      </c>
    </row>
    <row r="165" spans="1:4">
      <c r="A165" s="137" t="s">
        <v>250</v>
      </c>
      <c r="B165" s="55" t="s">
        <v>875</v>
      </c>
      <c r="C165" s="79"/>
      <c r="D165" s="159" t="s">
        <v>117</v>
      </c>
    </row>
    <row r="166" spans="1:4">
      <c r="A166" s="137" t="s">
        <v>250</v>
      </c>
      <c r="B166" s="55" t="s">
        <v>879</v>
      </c>
      <c r="C166" s="79"/>
      <c r="D166" s="159" t="s">
        <v>117</v>
      </c>
    </row>
    <row r="167" spans="1:4">
      <c r="A167" s="139" t="s">
        <v>881</v>
      </c>
      <c r="B167" s="18" t="s">
        <v>884</v>
      </c>
      <c r="C167" s="79"/>
      <c r="D167" s="159" t="s">
        <v>117</v>
      </c>
    </row>
    <row r="168" spans="1:4">
      <c r="A168" s="137" t="s">
        <v>251</v>
      </c>
      <c r="B168" s="26" t="s">
        <v>451</v>
      </c>
      <c r="C168" s="79"/>
      <c r="D168" s="141" t="s">
        <v>453</v>
      </c>
    </row>
    <row r="169" spans="1:4">
      <c r="A169" s="137" t="s">
        <v>251</v>
      </c>
      <c r="B169" s="26" t="s">
        <v>454</v>
      </c>
      <c r="C169" s="79"/>
      <c r="D169" s="141" t="s">
        <v>453</v>
      </c>
    </row>
    <row r="170" spans="1:4">
      <c r="A170" s="139" t="s">
        <v>266</v>
      </c>
      <c r="B170" s="18" t="s">
        <v>268</v>
      </c>
      <c r="C170" s="79"/>
      <c r="D170" s="159"/>
    </row>
    <row r="171" spans="1:4">
      <c r="A171" s="137" t="s">
        <v>270</v>
      </c>
      <c r="B171" s="26" t="s">
        <v>275</v>
      </c>
      <c r="C171" s="79"/>
      <c r="D171" s="141" t="s">
        <v>102</v>
      </c>
    </row>
    <row r="172" spans="1:4">
      <c r="A172" s="137" t="s">
        <v>270</v>
      </c>
      <c r="B172" s="26" t="s">
        <v>278</v>
      </c>
      <c r="C172" s="79"/>
      <c r="D172" s="141" t="s">
        <v>280</v>
      </c>
    </row>
    <row r="173" spans="1:4">
      <c r="A173" s="137" t="s">
        <v>270</v>
      </c>
      <c r="B173" s="26" t="s">
        <v>282</v>
      </c>
      <c r="C173" s="79"/>
      <c r="D173" s="141" t="s">
        <v>90</v>
      </c>
    </row>
    <row r="174" spans="1:4">
      <c r="A174" s="160" t="s">
        <v>905</v>
      </c>
      <c r="B174" s="18" t="s">
        <v>908</v>
      </c>
      <c r="C174" s="79"/>
      <c r="D174" s="159" t="s">
        <v>117</v>
      </c>
    </row>
    <row r="175" spans="1:4">
      <c r="A175" s="139" t="s">
        <v>591</v>
      </c>
      <c r="B175" s="18" t="s">
        <v>594</v>
      </c>
      <c r="C175" s="79"/>
      <c r="D175" s="159" t="s">
        <v>93</v>
      </c>
    </row>
    <row r="176" spans="1:4">
      <c r="A176" s="139" t="s">
        <v>681</v>
      </c>
      <c r="B176" s="18" t="s">
        <v>683</v>
      </c>
      <c r="C176" s="79"/>
      <c r="D176" s="159" t="s">
        <v>941</v>
      </c>
    </row>
    <row r="177" spans="1:4">
      <c r="A177" s="137" t="s">
        <v>1014</v>
      </c>
      <c r="B177" s="26" t="s">
        <v>1018</v>
      </c>
      <c r="C177" s="79"/>
      <c r="D177" s="141" t="s">
        <v>117</v>
      </c>
    </row>
    <row r="178" spans="1:4">
      <c r="A178" s="137" t="s">
        <v>1020</v>
      </c>
      <c r="B178" s="26" t="s">
        <v>1023</v>
      </c>
      <c r="C178" s="79"/>
      <c r="D178" s="141" t="s">
        <v>117</v>
      </c>
    </row>
    <row r="179" spans="1:4">
      <c r="A179" s="137" t="s">
        <v>1020</v>
      </c>
      <c r="B179" s="26" t="s">
        <v>1025</v>
      </c>
      <c r="C179" s="79"/>
      <c r="D179" s="141" t="s">
        <v>117</v>
      </c>
    </row>
    <row r="180" spans="1:4">
      <c r="A180" s="137" t="s">
        <v>1020</v>
      </c>
      <c r="B180" s="26" t="s">
        <v>1028</v>
      </c>
      <c r="C180" s="79"/>
      <c r="D180" s="141" t="s">
        <v>117</v>
      </c>
    </row>
    <row r="181" spans="1:4">
      <c r="A181" s="137" t="s">
        <v>1030</v>
      </c>
      <c r="B181" s="26" t="s">
        <v>1032</v>
      </c>
      <c r="C181" s="79"/>
      <c r="D181" s="141" t="s">
        <v>117</v>
      </c>
    </row>
    <row r="182" spans="1:4">
      <c r="A182" s="137" t="s">
        <v>295</v>
      </c>
      <c r="B182" s="26" t="s">
        <v>299</v>
      </c>
      <c r="C182" s="79"/>
      <c r="D182" s="159" t="s">
        <v>78</v>
      </c>
    </row>
    <row r="183" spans="1:4">
      <c r="A183" s="137" t="s">
        <v>295</v>
      </c>
      <c r="B183" s="26" t="s">
        <v>310</v>
      </c>
      <c r="C183" s="79"/>
      <c r="D183" s="159" t="s">
        <v>78</v>
      </c>
    </row>
    <row r="184" spans="1:4">
      <c r="A184" s="137" t="s">
        <v>315</v>
      </c>
      <c r="B184" s="26" t="s">
        <v>319</v>
      </c>
      <c r="C184" s="79"/>
      <c r="D184" s="159" t="s">
        <v>321</v>
      </c>
    </row>
    <row r="185" spans="1:4">
      <c r="A185" s="137" t="s">
        <v>686</v>
      </c>
      <c r="B185" s="144" t="s">
        <v>688</v>
      </c>
      <c r="C185" s="79"/>
      <c r="D185" s="159" t="s">
        <v>1113</v>
      </c>
    </row>
    <row r="186" spans="1:4">
      <c r="A186" s="137" t="s">
        <v>686</v>
      </c>
      <c r="B186" s="144" t="s">
        <v>690</v>
      </c>
      <c r="C186" s="79"/>
      <c r="D186" s="159" t="s">
        <v>1113</v>
      </c>
    </row>
    <row r="187" spans="1:4">
      <c r="A187" s="137" t="s">
        <v>692</v>
      </c>
      <c r="B187" s="55" t="s">
        <v>696</v>
      </c>
      <c r="C187" s="79"/>
      <c r="D187" s="141" t="s">
        <v>90</v>
      </c>
    </row>
    <row r="188" spans="1:4">
      <c r="A188" s="147" t="s">
        <v>692</v>
      </c>
      <c r="B188" s="161" t="s">
        <v>699</v>
      </c>
      <c r="C188" s="162"/>
      <c r="D188" s="163" t="s">
        <v>90</v>
      </c>
    </row>
    <row r="189" spans="1:4">
      <c r="C189" s="76"/>
      <c r="D189" s="76"/>
    </row>
    <row r="190" spans="1:4">
      <c r="C190" s="76"/>
      <c r="D190" s="76"/>
    </row>
    <row r="191" spans="1:4">
      <c r="C191" s="76"/>
      <c r="D191" s="76"/>
    </row>
    <row r="192" spans="1:4">
      <c r="C192" s="76"/>
      <c r="D192" s="76"/>
    </row>
    <row r="193" spans="3:4">
      <c r="C193" s="76"/>
      <c r="D193" s="76"/>
    </row>
    <row r="194" spans="3:4">
      <c r="C194" s="76"/>
      <c r="D194" s="76"/>
    </row>
    <row r="195" spans="3:4">
      <c r="C195" s="76"/>
      <c r="D195" s="76"/>
    </row>
    <row r="196" spans="3:4">
      <c r="C196" s="76"/>
      <c r="D196" s="76"/>
    </row>
    <row r="197" spans="3:4">
      <c r="C197" s="76"/>
      <c r="D197" s="76"/>
    </row>
    <row r="198" spans="3:4">
      <c r="C198" s="76"/>
      <c r="D198" s="76"/>
    </row>
    <row r="199" spans="3:4">
      <c r="C199" s="76"/>
      <c r="D199" s="76"/>
    </row>
    <row r="200" spans="3:4">
      <c r="C200" s="76"/>
      <c r="D200" s="76"/>
    </row>
    <row r="201" spans="3:4">
      <c r="C201" s="76"/>
      <c r="D201" s="76"/>
    </row>
    <row r="202" spans="3:4">
      <c r="C202" s="76"/>
      <c r="D202" s="76"/>
    </row>
    <row r="203" spans="3:4">
      <c r="C203" s="76"/>
      <c r="D203" s="76"/>
    </row>
    <row r="204" spans="3:4">
      <c r="C204" s="76"/>
      <c r="D204" s="76"/>
    </row>
    <row r="205" spans="3:4">
      <c r="C205" s="76"/>
      <c r="D205" s="76"/>
    </row>
    <row r="206" spans="3:4">
      <c r="C206" s="76"/>
      <c r="D206" s="76"/>
    </row>
    <row r="207" spans="3:4">
      <c r="C207" s="76"/>
      <c r="D207" s="76"/>
    </row>
    <row r="208" spans="3:4">
      <c r="C208" s="76"/>
      <c r="D208" s="76"/>
    </row>
    <row r="209" spans="3:4">
      <c r="C209" s="76"/>
      <c r="D209" s="76"/>
    </row>
    <row r="210" spans="3:4">
      <c r="C210" s="76"/>
      <c r="D210" s="76"/>
    </row>
    <row r="211" spans="3:4">
      <c r="C211" s="76"/>
      <c r="D211" s="76"/>
    </row>
    <row r="212" spans="3:4">
      <c r="C212" s="76"/>
      <c r="D212" s="76"/>
    </row>
    <row r="213" spans="3:4">
      <c r="C213" s="76"/>
      <c r="D213" s="76"/>
    </row>
    <row r="214" spans="3:4">
      <c r="C214" s="76"/>
      <c r="D214" s="76"/>
    </row>
    <row r="215" spans="3:4">
      <c r="C215" s="76"/>
      <c r="D215" s="76"/>
    </row>
    <row r="216" spans="3:4">
      <c r="C216" s="76"/>
      <c r="D216" s="76"/>
    </row>
    <row r="217" spans="3:4">
      <c r="C217" s="76"/>
      <c r="D217" s="76"/>
    </row>
    <row r="218" spans="3:4">
      <c r="C218" s="76"/>
      <c r="D218" s="76"/>
    </row>
    <row r="219" spans="3:4">
      <c r="C219" s="76"/>
      <c r="D219" s="76"/>
    </row>
    <row r="220" spans="3:4">
      <c r="C220" s="76"/>
      <c r="D220" s="76"/>
    </row>
    <row r="221" spans="3:4">
      <c r="C221" s="76"/>
      <c r="D221" s="76"/>
    </row>
    <row r="222" spans="3:4">
      <c r="C222" s="76"/>
      <c r="D222" s="76"/>
    </row>
    <row r="223" spans="3:4">
      <c r="C223" s="76"/>
      <c r="D223" s="76"/>
    </row>
    <row r="224" spans="3:4">
      <c r="C224" s="76"/>
      <c r="D224" s="76"/>
    </row>
    <row r="225" spans="3:4">
      <c r="C225" s="76"/>
      <c r="D225" s="76"/>
    </row>
    <row r="226" spans="3:4">
      <c r="C226" s="76"/>
      <c r="D226" s="76"/>
    </row>
    <row r="227" spans="3:4">
      <c r="C227" s="76"/>
      <c r="D227" s="76"/>
    </row>
    <row r="228" spans="3:4">
      <c r="C228" s="76"/>
      <c r="D228" s="76"/>
    </row>
    <row r="229" spans="3:4">
      <c r="C229" s="76"/>
      <c r="D229" s="76"/>
    </row>
    <row r="230" spans="3:4">
      <c r="C230" s="76"/>
      <c r="D230" s="76"/>
    </row>
    <row r="231" spans="3:4">
      <c r="C231" s="76"/>
      <c r="D231" s="76"/>
    </row>
    <row r="232" spans="3:4">
      <c r="C232" s="76"/>
      <c r="D232" s="76"/>
    </row>
    <row r="233" spans="3:4">
      <c r="C233" s="76"/>
      <c r="D233" s="76"/>
    </row>
    <row r="234" spans="3:4">
      <c r="C234" s="76"/>
      <c r="D234" s="76"/>
    </row>
    <row r="235" spans="3:4">
      <c r="C235" s="76"/>
      <c r="D235" s="76"/>
    </row>
    <row r="236" spans="3:4">
      <c r="C236" s="76"/>
      <c r="D236" s="76"/>
    </row>
    <row r="237" spans="3:4">
      <c r="C237" s="76"/>
      <c r="D237" s="76"/>
    </row>
    <row r="238" spans="3:4">
      <c r="C238" s="76"/>
      <c r="D238" s="76"/>
    </row>
    <row r="239" spans="3:4">
      <c r="C239" s="76"/>
      <c r="D239" s="76"/>
    </row>
    <row r="240" spans="3:4">
      <c r="C240" s="76"/>
      <c r="D240" s="76"/>
    </row>
    <row r="241" spans="3:4">
      <c r="C241" s="76"/>
      <c r="D241" s="76"/>
    </row>
    <row r="242" spans="3:4">
      <c r="C242" s="76"/>
      <c r="D242" s="76"/>
    </row>
    <row r="243" spans="3:4">
      <c r="C243" s="76"/>
      <c r="D243" s="76"/>
    </row>
    <row r="244" spans="3:4">
      <c r="C244" s="76"/>
      <c r="D244" s="76"/>
    </row>
    <row r="245" spans="3:4">
      <c r="C245" s="76"/>
      <c r="D245" s="76"/>
    </row>
    <row r="246" spans="3:4">
      <c r="C246" s="76"/>
      <c r="D246" s="76"/>
    </row>
    <row r="247" spans="3:4">
      <c r="C247" s="76"/>
      <c r="D247" s="76"/>
    </row>
    <row r="248" spans="3:4">
      <c r="C248" s="76"/>
      <c r="D248" s="76"/>
    </row>
    <row r="249" spans="3:4">
      <c r="C249" s="76"/>
      <c r="D249" s="76"/>
    </row>
    <row r="250" spans="3:4">
      <c r="C250" s="76"/>
      <c r="D250" s="76"/>
    </row>
    <row r="251" spans="3:4">
      <c r="C251" s="76"/>
      <c r="D251" s="76"/>
    </row>
    <row r="252" spans="3:4">
      <c r="C252" s="76"/>
      <c r="D252" s="76"/>
    </row>
    <row r="253" spans="3:4">
      <c r="C253" s="76"/>
      <c r="D253" s="76"/>
    </row>
    <row r="254" spans="3:4">
      <c r="C254" s="76"/>
      <c r="D254" s="76"/>
    </row>
    <row r="255" spans="3:4">
      <c r="C255" s="76"/>
      <c r="D255" s="76"/>
    </row>
    <row r="256" spans="3:4">
      <c r="C256" s="76"/>
      <c r="D256" s="76"/>
    </row>
    <row r="257" spans="3:4">
      <c r="C257" s="76"/>
      <c r="D257" s="76"/>
    </row>
    <row r="258" spans="3:4">
      <c r="C258" s="76"/>
      <c r="D258" s="76"/>
    </row>
    <row r="259" spans="3:4">
      <c r="C259" s="76"/>
      <c r="D259" s="76"/>
    </row>
    <row r="260" spans="3:4">
      <c r="C260" s="76"/>
      <c r="D260" s="76"/>
    </row>
    <row r="261" spans="3:4">
      <c r="C261" s="76"/>
      <c r="D261" s="76"/>
    </row>
    <row r="262" spans="3:4">
      <c r="C262" s="76"/>
      <c r="D262" s="76"/>
    </row>
    <row r="263" spans="3:4">
      <c r="C263" s="76"/>
      <c r="D263" s="76"/>
    </row>
    <row r="264" spans="3:4">
      <c r="C264" s="76"/>
      <c r="D264" s="76"/>
    </row>
    <row r="265" spans="3:4">
      <c r="C265" s="76"/>
      <c r="D265" s="76"/>
    </row>
    <row r="266" spans="3:4">
      <c r="C266" s="76"/>
      <c r="D266" s="76"/>
    </row>
    <row r="267" spans="3:4">
      <c r="C267" s="76"/>
      <c r="D267" s="76"/>
    </row>
    <row r="268" spans="3:4">
      <c r="C268" s="76"/>
      <c r="D268" s="76"/>
    </row>
    <row r="269" spans="3:4">
      <c r="C269" s="76"/>
      <c r="D269" s="76"/>
    </row>
    <row r="270" spans="3:4">
      <c r="C270" s="76"/>
      <c r="D270" s="76"/>
    </row>
    <row r="271" spans="3:4">
      <c r="C271" s="76"/>
      <c r="D271" s="76"/>
    </row>
    <row r="272" spans="3:4">
      <c r="C272" s="76"/>
      <c r="D272" s="76"/>
    </row>
    <row r="273" spans="3:4">
      <c r="C273" s="76"/>
      <c r="D273" s="76"/>
    </row>
    <row r="274" spans="3:4">
      <c r="C274" s="76"/>
      <c r="D274" s="76"/>
    </row>
    <row r="275" spans="3:4">
      <c r="C275" s="76"/>
      <c r="D275" s="76"/>
    </row>
    <row r="276" spans="3:4">
      <c r="C276" s="76"/>
      <c r="D276" s="76"/>
    </row>
    <row r="277" spans="3:4">
      <c r="C277" s="76"/>
      <c r="D277" s="76"/>
    </row>
    <row r="278" spans="3:4">
      <c r="C278" s="76"/>
      <c r="D278" s="76"/>
    </row>
    <row r="279" spans="3:4">
      <c r="C279" s="76"/>
      <c r="D279" s="76"/>
    </row>
    <row r="280" spans="3:4">
      <c r="C280" s="76"/>
      <c r="D280" s="76"/>
    </row>
    <row r="281" spans="3:4">
      <c r="C281" s="76"/>
      <c r="D281" s="76"/>
    </row>
    <row r="282" spans="3:4">
      <c r="C282" s="76"/>
      <c r="D282" s="76"/>
    </row>
    <row r="283" spans="3:4">
      <c r="C283" s="76"/>
      <c r="D283" s="76"/>
    </row>
    <row r="284" spans="3:4">
      <c r="C284" s="76"/>
      <c r="D284" s="76"/>
    </row>
    <row r="285" spans="3:4">
      <c r="C285" s="76"/>
      <c r="D285" s="76"/>
    </row>
    <row r="286" spans="3:4">
      <c r="C286" s="76"/>
      <c r="D286" s="76"/>
    </row>
    <row r="287" spans="3:4">
      <c r="C287" s="76"/>
      <c r="D287" s="76"/>
    </row>
    <row r="288" spans="3:4">
      <c r="C288" s="76"/>
      <c r="D288" s="76"/>
    </row>
    <row r="289" spans="3:4">
      <c r="C289" s="76"/>
      <c r="D289" s="76"/>
    </row>
    <row r="290" spans="3:4">
      <c r="C290" s="76"/>
      <c r="D290" s="76"/>
    </row>
    <row r="291" spans="3:4">
      <c r="C291" s="76"/>
      <c r="D291" s="76"/>
    </row>
    <row r="292" spans="3:4">
      <c r="C292" s="76"/>
      <c r="D292" s="76"/>
    </row>
    <row r="293" spans="3:4">
      <c r="C293" s="76"/>
      <c r="D293" s="76"/>
    </row>
  </sheetData>
  <pageMargins left="0.7" right="0.7" top="0.75" bottom="0.75" header="0.511811023622047" footer="0.511811023622047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D9D9"/>
  </sheetPr>
  <dimension ref="A1:O454"/>
  <sheetViews>
    <sheetView zoomScale="85" zoomScaleNormal="85" workbookViewId="0">
      <pane ySplit="1" topLeftCell="A404" activePane="bottomLeft" state="frozen"/>
      <selection pane="bottomLeft" activeCell="A422" sqref="A422:XFD422"/>
    </sheetView>
  </sheetViews>
  <sheetFormatPr defaultColWidth="9.140625" defaultRowHeight="15" outlineLevelRow="1"/>
  <cols>
    <col min="1" max="1" width="38.140625" style="1" customWidth="1"/>
    <col min="2" max="2" width="7.140625" style="1" customWidth="1"/>
    <col min="3" max="3" width="23.140625" style="1" customWidth="1"/>
    <col min="4" max="4" width="31" style="1" customWidth="1"/>
    <col min="5" max="6" width="26.28515625" style="3" customWidth="1"/>
    <col min="7" max="7" width="23.5703125" style="3" customWidth="1"/>
    <col min="8" max="8" width="22.5703125" style="3" customWidth="1"/>
    <col min="9" max="9" width="11.7109375" style="3" customWidth="1"/>
    <col min="10" max="10" width="14.7109375" style="3" customWidth="1"/>
    <col min="11" max="11" width="17.7109375" style="4" customWidth="1"/>
    <col min="12" max="12" width="17.7109375" style="5" customWidth="1"/>
    <col min="13" max="13" width="15.140625" style="5" hidden="1" customWidth="1"/>
    <col min="14" max="14" width="12.85546875" style="1" customWidth="1"/>
    <col min="15" max="15" width="16.7109375" style="1" customWidth="1"/>
    <col min="16" max="16384" width="9.140625" style="1"/>
  </cols>
  <sheetData>
    <row r="1" spans="1:15" ht="18.75">
      <c r="A1" s="8" t="s">
        <v>1</v>
      </c>
      <c r="B1" s="8" t="s">
        <v>2</v>
      </c>
      <c r="C1" s="9" t="s">
        <v>3</v>
      </c>
      <c r="D1" s="9" t="s">
        <v>4</v>
      </c>
      <c r="E1" s="10" t="s">
        <v>5</v>
      </c>
      <c r="F1" s="10" t="s">
        <v>1114</v>
      </c>
      <c r="G1" s="10" t="s">
        <v>1115</v>
      </c>
      <c r="H1" s="10" t="s">
        <v>8</v>
      </c>
      <c r="I1" s="10" t="s">
        <v>9</v>
      </c>
      <c r="J1" s="10" t="s">
        <v>10</v>
      </c>
      <c r="K1" s="11" t="s">
        <v>11</v>
      </c>
      <c r="L1" s="12" t="s">
        <v>12</v>
      </c>
      <c r="M1" s="13">
        <v>45540</v>
      </c>
      <c r="N1" s="10" t="s">
        <v>1116</v>
      </c>
      <c r="O1" s="10" t="s">
        <v>1117</v>
      </c>
    </row>
    <row r="2" spans="1:15">
      <c r="A2" s="164" t="s">
        <v>13</v>
      </c>
      <c r="B2" s="165">
        <v>11</v>
      </c>
      <c r="C2" s="164" t="s">
        <v>388</v>
      </c>
      <c r="D2" s="165" t="s">
        <v>15</v>
      </c>
      <c r="E2" s="165" t="s">
        <v>15</v>
      </c>
      <c r="F2" s="165"/>
      <c r="G2" s="166" t="s">
        <v>15</v>
      </c>
      <c r="H2" s="166" t="s">
        <v>15</v>
      </c>
      <c r="I2" s="72" t="s">
        <v>15</v>
      </c>
      <c r="J2" s="72"/>
      <c r="K2" s="167">
        <v>43475</v>
      </c>
      <c r="L2" s="211" t="s">
        <v>15</v>
      </c>
      <c r="M2" s="72"/>
      <c r="N2" s="72" t="s">
        <v>27</v>
      </c>
      <c r="O2" s="72"/>
    </row>
    <row r="3" spans="1:15" outlineLevel="1">
      <c r="A3" s="27" t="s">
        <v>64</v>
      </c>
      <c r="B3" s="27">
        <v>1</v>
      </c>
      <c r="C3" s="43" t="s">
        <v>65</v>
      </c>
      <c r="D3" s="27" t="s">
        <v>66</v>
      </c>
      <c r="E3" s="44">
        <v>190500021000137</v>
      </c>
      <c r="F3" s="44" t="s">
        <v>69</v>
      </c>
      <c r="G3" s="26">
        <v>500207510155</v>
      </c>
      <c r="H3" s="26" t="s">
        <v>70</v>
      </c>
      <c r="I3" s="27">
        <v>3476741</v>
      </c>
      <c r="J3" s="27" t="s">
        <v>25</v>
      </c>
      <c r="K3" s="30">
        <v>43475</v>
      </c>
      <c r="L3" s="211" t="s">
        <v>2070</v>
      </c>
      <c r="M3" s="27"/>
      <c r="N3" s="27" t="s">
        <v>27</v>
      </c>
      <c r="O3" s="27"/>
    </row>
    <row r="4" spans="1:15" outlineLevel="1">
      <c r="A4" s="27" t="s">
        <v>64</v>
      </c>
      <c r="B4" s="27">
        <v>1</v>
      </c>
      <c r="C4" s="43" t="s">
        <v>65</v>
      </c>
      <c r="D4" s="27" t="s">
        <v>66</v>
      </c>
      <c r="E4" s="44">
        <v>190500021000139</v>
      </c>
      <c r="F4" s="44" t="s">
        <v>67</v>
      </c>
      <c r="G4" s="26">
        <v>500207510159</v>
      </c>
      <c r="H4" s="26" t="s">
        <v>68</v>
      </c>
      <c r="I4" s="27">
        <v>3476742</v>
      </c>
      <c r="J4" s="27" t="s">
        <v>25</v>
      </c>
      <c r="K4" s="30">
        <v>43475</v>
      </c>
      <c r="L4" s="211" t="s">
        <v>2070</v>
      </c>
      <c r="M4" s="27"/>
      <c r="N4" s="27" t="s">
        <v>27</v>
      </c>
      <c r="O4" s="27"/>
    </row>
    <row r="5" spans="1:15" outlineLevel="1">
      <c r="A5" s="22" t="s">
        <v>18</v>
      </c>
      <c r="B5" s="22">
        <v>1</v>
      </c>
      <c r="C5" s="22" t="s">
        <v>19</v>
      </c>
      <c r="D5" s="22" t="s">
        <v>20</v>
      </c>
      <c r="E5" s="23" t="s">
        <v>28</v>
      </c>
      <c r="F5" s="44" t="s">
        <v>29</v>
      </c>
      <c r="G5" s="24" t="s">
        <v>22</v>
      </c>
      <c r="H5" s="26" t="s">
        <v>30</v>
      </c>
      <c r="I5" s="26">
        <v>3595652</v>
      </c>
      <c r="J5" s="27" t="s">
        <v>25</v>
      </c>
      <c r="K5" s="33">
        <v>45279</v>
      </c>
      <c r="L5" s="211" t="s">
        <v>78</v>
      </c>
      <c r="M5" s="30"/>
      <c r="N5" s="27" t="s">
        <v>27</v>
      </c>
      <c r="O5" s="27"/>
    </row>
    <row r="6" spans="1:15" outlineLevel="1">
      <c r="A6" s="22" t="s">
        <v>18</v>
      </c>
      <c r="B6" s="22">
        <v>1</v>
      </c>
      <c r="C6" s="22" t="s">
        <v>19</v>
      </c>
      <c r="D6" s="22" t="s">
        <v>20</v>
      </c>
      <c r="E6" s="23" t="s">
        <v>21</v>
      </c>
      <c r="F6" s="44" t="s">
        <v>23</v>
      </c>
      <c r="G6" s="24" t="s">
        <v>22</v>
      </c>
      <c r="H6" s="26" t="s">
        <v>24</v>
      </c>
      <c r="I6" s="26">
        <v>3601259</v>
      </c>
      <c r="J6" s="27" t="s">
        <v>25</v>
      </c>
      <c r="K6" s="33">
        <v>44932</v>
      </c>
      <c r="L6" s="211" t="s">
        <v>78</v>
      </c>
      <c r="M6" s="30"/>
      <c r="N6" s="27" t="s">
        <v>27</v>
      </c>
      <c r="O6" s="27"/>
    </row>
    <row r="7" spans="1:15" outlineLevel="1">
      <c r="A7" s="27" t="s">
        <v>18</v>
      </c>
      <c r="B7" s="27">
        <v>1</v>
      </c>
      <c r="C7" s="27" t="s">
        <v>19</v>
      </c>
      <c r="D7" s="27" t="s">
        <v>20</v>
      </c>
      <c r="E7" s="31" t="s">
        <v>40</v>
      </c>
      <c r="F7" s="44" t="s">
        <v>41</v>
      </c>
      <c r="G7" s="26" t="s">
        <v>22</v>
      </c>
      <c r="H7" s="26" t="s">
        <v>42</v>
      </c>
      <c r="I7" s="26">
        <v>3601260</v>
      </c>
      <c r="J7" s="27" t="s">
        <v>25</v>
      </c>
      <c r="K7" s="33">
        <v>44932</v>
      </c>
      <c r="L7" s="211" t="s">
        <v>26</v>
      </c>
      <c r="M7" s="30"/>
      <c r="N7" s="27" t="s">
        <v>27</v>
      </c>
      <c r="O7" s="27"/>
    </row>
    <row r="8" spans="1:15" outlineLevel="1">
      <c r="A8" s="22" t="s">
        <v>43</v>
      </c>
      <c r="B8" s="27">
        <v>1</v>
      </c>
      <c r="C8" s="27" t="s">
        <v>19</v>
      </c>
      <c r="D8" s="22" t="s">
        <v>44</v>
      </c>
      <c r="E8" s="23" t="s">
        <v>45</v>
      </c>
      <c r="F8" s="44" t="s">
        <v>47</v>
      </c>
      <c r="G8" s="24" t="s">
        <v>46</v>
      </c>
      <c r="H8" s="26" t="s">
        <v>48</v>
      </c>
      <c r="I8" s="26">
        <v>3638502</v>
      </c>
      <c r="J8" s="27" t="s">
        <v>25</v>
      </c>
      <c r="K8" s="33">
        <v>45213</v>
      </c>
      <c r="L8" s="211" t="s">
        <v>2058</v>
      </c>
      <c r="M8" s="30"/>
      <c r="N8" s="27" t="s">
        <v>27</v>
      </c>
      <c r="O8" s="27"/>
    </row>
    <row r="9" spans="1:15" outlineLevel="1">
      <c r="A9" s="22" t="s">
        <v>43</v>
      </c>
      <c r="B9" s="27">
        <v>1</v>
      </c>
      <c r="C9" s="27" t="s">
        <v>19</v>
      </c>
      <c r="D9" s="22" t="s">
        <v>44</v>
      </c>
      <c r="E9" s="23" t="s">
        <v>49</v>
      </c>
      <c r="F9" s="44" t="s">
        <v>50</v>
      </c>
      <c r="G9" s="24" t="s">
        <v>46</v>
      </c>
      <c r="H9" s="26" t="s">
        <v>51</v>
      </c>
      <c r="I9" s="26">
        <v>3638503</v>
      </c>
      <c r="J9" s="27" t="s">
        <v>25</v>
      </c>
      <c r="K9" s="33">
        <v>45213</v>
      </c>
      <c r="L9" s="211" t="s">
        <v>2058</v>
      </c>
      <c r="M9" s="30"/>
      <c r="N9" s="27" t="s">
        <v>27</v>
      </c>
      <c r="O9" s="27"/>
    </row>
    <row r="10" spans="1:15" outlineLevel="1">
      <c r="A10" s="22" t="s">
        <v>43</v>
      </c>
      <c r="B10" s="27">
        <v>1</v>
      </c>
      <c r="C10" s="27" t="s">
        <v>19</v>
      </c>
      <c r="D10" s="22" t="s">
        <v>44</v>
      </c>
      <c r="E10" s="23" t="s">
        <v>52</v>
      </c>
      <c r="F10" s="44" t="s">
        <v>53</v>
      </c>
      <c r="G10" s="24" t="s">
        <v>46</v>
      </c>
      <c r="H10" s="26" t="s">
        <v>54</v>
      </c>
      <c r="I10" s="26">
        <v>3638504</v>
      </c>
      <c r="J10" s="27" t="s">
        <v>25</v>
      </c>
      <c r="K10" s="33">
        <v>45213</v>
      </c>
      <c r="L10" s="211" t="s">
        <v>2058</v>
      </c>
      <c r="M10" s="30"/>
      <c r="N10" s="27" t="s">
        <v>27</v>
      </c>
      <c r="O10" s="27"/>
    </row>
    <row r="11" spans="1:15" outlineLevel="1">
      <c r="A11" s="22" t="s">
        <v>43</v>
      </c>
      <c r="B11" s="27">
        <v>1</v>
      </c>
      <c r="C11" s="27" t="s">
        <v>19</v>
      </c>
      <c r="D11" s="22" t="s">
        <v>44</v>
      </c>
      <c r="E11" s="23" t="s">
        <v>55</v>
      </c>
      <c r="F11" s="44" t="s">
        <v>56</v>
      </c>
      <c r="G11" s="24" t="s">
        <v>46</v>
      </c>
      <c r="H11" s="26" t="s">
        <v>57</v>
      </c>
      <c r="I11" s="26">
        <v>3638505</v>
      </c>
      <c r="J11" s="27" t="s">
        <v>25</v>
      </c>
      <c r="K11" s="33">
        <v>45213</v>
      </c>
      <c r="L11" s="211" t="s">
        <v>2058</v>
      </c>
      <c r="M11" s="30"/>
      <c r="N11" s="27" t="s">
        <v>27</v>
      </c>
      <c r="O11" s="27"/>
    </row>
    <row r="12" spans="1:15" outlineLevel="1">
      <c r="A12" s="22" t="s">
        <v>43</v>
      </c>
      <c r="B12" s="27">
        <v>1</v>
      </c>
      <c r="C12" s="27" t="s">
        <v>19</v>
      </c>
      <c r="D12" s="22" t="s">
        <v>44</v>
      </c>
      <c r="E12" s="23" t="s">
        <v>58</v>
      </c>
      <c r="F12" s="44" t="s">
        <v>59</v>
      </c>
      <c r="G12" s="24" t="s">
        <v>46</v>
      </c>
      <c r="H12" s="26" t="s">
        <v>60</v>
      </c>
      <c r="I12" s="26">
        <v>3638506</v>
      </c>
      <c r="J12" s="27" t="s">
        <v>25</v>
      </c>
      <c r="K12" s="33">
        <v>45213</v>
      </c>
      <c r="L12" s="211" t="s">
        <v>2058</v>
      </c>
      <c r="M12" s="30"/>
      <c r="N12" s="27" t="s">
        <v>27</v>
      </c>
      <c r="O12" s="27"/>
    </row>
    <row r="13" spans="1:15" outlineLevel="1">
      <c r="A13" s="22" t="s">
        <v>43</v>
      </c>
      <c r="B13" s="27">
        <v>1</v>
      </c>
      <c r="C13" s="27" t="s">
        <v>19</v>
      </c>
      <c r="D13" s="22" t="s">
        <v>44</v>
      </c>
      <c r="E13" s="23" t="s">
        <v>61</v>
      </c>
      <c r="F13" s="44" t="s">
        <v>62</v>
      </c>
      <c r="G13" s="24" t="s">
        <v>46</v>
      </c>
      <c r="H13" s="26" t="s">
        <v>63</v>
      </c>
      <c r="I13" s="26">
        <v>3638507</v>
      </c>
      <c r="J13" s="27" t="s">
        <v>25</v>
      </c>
      <c r="K13" s="33">
        <v>45213</v>
      </c>
      <c r="L13" s="211" t="s">
        <v>2058</v>
      </c>
      <c r="M13" s="30"/>
      <c r="N13" s="27" t="s">
        <v>27</v>
      </c>
      <c r="O13" s="27"/>
    </row>
    <row r="14" spans="1:15">
      <c r="A14" s="168" t="s">
        <v>71</v>
      </c>
      <c r="B14" s="72">
        <v>6</v>
      </c>
      <c r="C14" s="72" t="s">
        <v>19</v>
      </c>
      <c r="D14" s="72" t="s">
        <v>15</v>
      </c>
      <c r="E14" s="169" t="s">
        <v>15</v>
      </c>
      <c r="F14" s="169" t="s">
        <v>15</v>
      </c>
      <c r="G14" s="166" t="s">
        <v>22</v>
      </c>
      <c r="H14" s="166" t="s">
        <v>15</v>
      </c>
      <c r="I14" s="166" t="s">
        <v>15</v>
      </c>
      <c r="J14" s="166" t="s">
        <v>15</v>
      </c>
      <c r="K14" s="166" t="s">
        <v>15</v>
      </c>
      <c r="L14" s="166" t="s">
        <v>15</v>
      </c>
      <c r="M14" s="170"/>
      <c r="N14" s="72" t="s">
        <v>27</v>
      </c>
      <c r="O14" s="72"/>
    </row>
    <row r="15" spans="1:15" outlineLevel="1">
      <c r="A15" s="27" t="s">
        <v>919</v>
      </c>
      <c r="B15" s="27">
        <v>1</v>
      </c>
      <c r="C15" s="27" t="s">
        <v>19</v>
      </c>
      <c r="D15" s="27" t="s">
        <v>920</v>
      </c>
      <c r="E15" s="31" t="s">
        <v>921</v>
      </c>
      <c r="F15" s="44" t="s">
        <v>922</v>
      </c>
      <c r="G15" s="26" t="s">
        <v>22</v>
      </c>
      <c r="H15" s="26" t="s">
        <v>923</v>
      </c>
      <c r="I15" s="26"/>
      <c r="J15" s="26" t="s">
        <v>25</v>
      </c>
      <c r="K15" s="33">
        <v>45279</v>
      </c>
      <c r="L15" s="211" t="s">
        <v>26</v>
      </c>
      <c r="M15" s="30"/>
      <c r="N15" s="27" t="s">
        <v>27</v>
      </c>
      <c r="O15" s="27"/>
    </row>
    <row r="16" spans="1:15" outlineLevel="1">
      <c r="A16" s="27" t="s">
        <v>919</v>
      </c>
      <c r="B16" s="27">
        <v>1</v>
      </c>
      <c r="C16" s="27" t="s">
        <v>19</v>
      </c>
      <c r="D16" s="27" t="s">
        <v>924</v>
      </c>
      <c r="E16" s="31" t="s">
        <v>925</v>
      </c>
      <c r="F16" s="44" t="s">
        <v>926</v>
      </c>
      <c r="G16" s="26" t="s">
        <v>22</v>
      </c>
      <c r="H16" s="26" t="s">
        <v>927</v>
      </c>
      <c r="I16" s="26">
        <v>3595832</v>
      </c>
      <c r="J16" s="26" t="s">
        <v>25</v>
      </c>
      <c r="K16" s="33">
        <v>45279</v>
      </c>
      <c r="L16" s="211" t="s">
        <v>26</v>
      </c>
      <c r="M16" s="30"/>
      <c r="N16" s="27" t="s">
        <v>27</v>
      </c>
      <c r="O16" s="27"/>
    </row>
    <row r="17" spans="1:15" outlineLevel="1">
      <c r="A17" s="27" t="s">
        <v>919</v>
      </c>
      <c r="B17" s="27">
        <v>1</v>
      </c>
      <c r="C17" s="27" t="s">
        <v>19</v>
      </c>
      <c r="D17" s="27" t="s">
        <v>920</v>
      </c>
      <c r="E17" s="31" t="s">
        <v>928</v>
      </c>
      <c r="F17" s="44" t="s">
        <v>929</v>
      </c>
      <c r="G17" s="26" t="s">
        <v>22</v>
      </c>
      <c r="H17" s="26" t="s">
        <v>930</v>
      </c>
      <c r="I17" s="26"/>
      <c r="J17" s="26" t="s">
        <v>25</v>
      </c>
      <c r="K17" s="33">
        <v>44932</v>
      </c>
      <c r="L17" s="211" t="s">
        <v>26</v>
      </c>
      <c r="M17" s="30"/>
      <c r="N17" s="27" t="s">
        <v>27</v>
      </c>
      <c r="O17" s="27"/>
    </row>
    <row r="18" spans="1:15" outlineLevel="1">
      <c r="A18" s="27" t="s">
        <v>919</v>
      </c>
      <c r="B18" s="27">
        <v>1</v>
      </c>
      <c r="C18" s="27" t="s">
        <v>19</v>
      </c>
      <c r="D18" s="27" t="s">
        <v>924</v>
      </c>
      <c r="E18" s="31" t="s">
        <v>931</v>
      </c>
      <c r="F18" s="44" t="s">
        <v>932</v>
      </c>
      <c r="G18" s="26" t="s">
        <v>22</v>
      </c>
      <c r="H18" s="26" t="s">
        <v>933</v>
      </c>
      <c r="I18" s="26"/>
      <c r="J18" s="26" t="s">
        <v>25</v>
      </c>
      <c r="K18" s="33">
        <v>44932</v>
      </c>
      <c r="L18" s="211" t="s">
        <v>26</v>
      </c>
      <c r="M18" s="30"/>
      <c r="N18" s="27" t="s">
        <v>27</v>
      </c>
      <c r="O18" s="27"/>
    </row>
    <row r="19" spans="1:15" outlineLevel="1">
      <c r="A19" s="27" t="s">
        <v>919</v>
      </c>
      <c r="B19" s="27">
        <v>1</v>
      </c>
      <c r="C19" s="27" t="s">
        <v>19</v>
      </c>
      <c r="D19" s="27" t="s">
        <v>934</v>
      </c>
      <c r="E19" s="31" t="s">
        <v>935</v>
      </c>
      <c r="F19" s="44" t="s">
        <v>936</v>
      </c>
      <c r="G19" s="24" t="s">
        <v>46</v>
      </c>
      <c r="H19" s="26" t="s">
        <v>937</v>
      </c>
      <c r="I19" s="26">
        <v>3638509</v>
      </c>
      <c r="J19" s="26" t="s">
        <v>25</v>
      </c>
      <c r="K19" s="33">
        <v>45213</v>
      </c>
      <c r="L19" s="211" t="s">
        <v>2058</v>
      </c>
      <c r="M19" s="30"/>
      <c r="N19" s="27" t="s">
        <v>27</v>
      </c>
      <c r="O19" s="27"/>
    </row>
    <row r="20" spans="1:15" outlineLevel="1">
      <c r="A20" s="27" t="s">
        <v>919</v>
      </c>
      <c r="B20" s="27">
        <v>1</v>
      </c>
      <c r="C20" s="27" t="s">
        <v>19</v>
      </c>
      <c r="D20" s="27" t="s">
        <v>934</v>
      </c>
      <c r="E20" s="31" t="s">
        <v>938</v>
      </c>
      <c r="F20" s="44" t="s">
        <v>939</v>
      </c>
      <c r="G20" s="24" t="s">
        <v>46</v>
      </c>
      <c r="H20" s="26" t="s">
        <v>940</v>
      </c>
      <c r="I20" s="26">
        <v>3638508</v>
      </c>
      <c r="J20" s="26" t="s">
        <v>25</v>
      </c>
      <c r="K20" s="33">
        <v>45213</v>
      </c>
      <c r="L20" s="211" t="s">
        <v>2058</v>
      </c>
      <c r="M20" s="30"/>
      <c r="N20" s="27" t="s">
        <v>27</v>
      </c>
      <c r="O20" s="27"/>
    </row>
    <row r="21" spans="1:15">
      <c r="A21" s="168" t="s">
        <v>942</v>
      </c>
      <c r="B21" s="72">
        <v>1</v>
      </c>
      <c r="C21" s="72" t="s">
        <v>943</v>
      </c>
      <c r="D21" s="72" t="s">
        <v>944</v>
      </c>
      <c r="E21" s="166">
        <v>190050701000135</v>
      </c>
      <c r="F21" s="166" t="s">
        <v>945</v>
      </c>
      <c r="G21" s="166" t="s">
        <v>35</v>
      </c>
      <c r="H21" s="166" t="s">
        <v>946</v>
      </c>
      <c r="I21" s="166" t="s">
        <v>35</v>
      </c>
      <c r="J21" s="166" t="s">
        <v>25</v>
      </c>
      <c r="K21" s="167">
        <v>43475</v>
      </c>
      <c r="L21" s="170" t="s">
        <v>26</v>
      </c>
      <c r="M21" s="170"/>
      <c r="N21" s="72" t="s">
        <v>27</v>
      </c>
      <c r="O21" s="72"/>
    </row>
    <row r="22" spans="1:15">
      <c r="A22" s="168" t="s">
        <v>705</v>
      </c>
      <c r="B22" s="72">
        <v>1</v>
      </c>
      <c r="C22" s="72" t="s">
        <v>706</v>
      </c>
      <c r="D22" s="72" t="s">
        <v>707</v>
      </c>
      <c r="E22" s="166">
        <v>2204004</v>
      </c>
      <c r="F22" s="166" t="s">
        <v>708</v>
      </c>
      <c r="G22" s="166" t="s">
        <v>35</v>
      </c>
      <c r="H22" s="166" t="s">
        <v>709</v>
      </c>
      <c r="I22" s="166">
        <v>3476749</v>
      </c>
      <c r="J22" s="166" t="s">
        <v>25</v>
      </c>
      <c r="K22" s="167">
        <v>43475</v>
      </c>
      <c r="L22" s="170" t="s">
        <v>710</v>
      </c>
      <c r="M22" s="170"/>
      <c r="N22" s="72" t="s">
        <v>27</v>
      </c>
      <c r="O22" s="72"/>
    </row>
    <row r="23" spans="1:15">
      <c r="A23" s="168" t="s">
        <v>721</v>
      </c>
      <c r="B23" s="72">
        <v>2</v>
      </c>
      <c r="C23" s="72" t="s">
        <v>19</v>
      </c>
      <c r="D23" s="72" t="s">
        <v>15</v>
      </c>
      <c r="E23" s="169" t="s">
        <v>15</v>
      </c>
      <c r="F23" s="166" t="s">
        <v>15</v>
      </c>
      <c r="G23" s="166" t="s">
        <v>22</v>
      </c>
      <c r="H23" s="166" t="s">
        <v>15</v>
      </c>
      <c r="I23" s="166"/>
      <c r="J23" s="166" t="s">
        <v>25</v>
      </c>
      <c r="K23" s="167">
        <v>45279</v>
      </c>
      <c r="L23" s="170" t="s">
        <v>117</v>
      </c>
      <c r="M23" s="170"/>
      <c r="N23" s="72" t="s">
        <v>27</v>
      </c>
      <c r="O23" s="72"/>
    </row>
    <row r="24" spans="1:15">
      <c r="A24" s="168" t="s">
        <v>72</v>
      </c>
      <c r="B24" s="72">
        <v>2</v>
      </c>
      <c r="C24" s="72" t="s">
        <v>73</v>
      </c>
      <c r="D24" s="72" t="s">
        <v>74</v>
      </c>
      <c r="E24" s="166" t="s">
        <v>15</v>
      </c>
      <c r="F24" s="166" t="s">
        <v>15</v>
      </c>
      <c r="G24" s="166" t="s">
        <v>15</v>
      </c>
      <c r="H24" s="166" t="s">
        <v>15</v>
      </c>
      <c r="I24" s="166" t="s">
        <v>15</v>
      </c>
      <c r="J24" s="166"/>
      <c r="K24" s="167">
        <v>43475</v>
      </c>
      <c r="L24" s="170" t="s">
        <v>596</v>
      </c>
      <c r="M24" s="170"/>
      <c r="N24" s="72" t="s">
        <v>27</v>
      </c>
      <c r="O24" s="72"/>
    </row>
    <row r="25" spans="1:15" outlineLevel="1">
      <c r="A25" s="27" t="s">
        <v>72</v>
      </c>
      <c r="B25" s="27">
        <v>1</v>
      </c>
      <c r="C25" s="27" t="s">
        <v>73</v>
      </c>
      <c r="D25" s="27" t="s">
        <v>74</v>
      </c>
      <c r="E25" s="26" t="s">
        <v>75</v>
      </c>
      <c r="F25" s="44" t="s">
        <v>76</v>
      </c>
      <c r="G25" s="26">
        <v>500207510469</v>
      </c>
      <c r="H25" s="26" t="s">
        <v>77</v>
      </c>
      <c r="I25" s="26">
        <v>3476744</v>
      </c>
      <c r="J25" s="26" t="s">
        <v>25</v>
      </c>
      <c r="K25" s="33">
        <v>43475</v>
      </c>
      <c r="L25" s="30" t="s">
        <v>78</v>
      </c>
      <c r="M25" s="30"/>
      <c r="N25" s="27" t="s">
        <v>27</v>
      </c>
      <c r="O25" s="27"/>
    </row>
    <row r="26" spans="1:15" outlineLevel="1">
      <c r="A26" s="27" t="s">
        <v>72</v>
      </c>
      <c r="B26" s="27">
        <v>1</v>
      </c>
      <c r="C26" s="27" t="s">
        <v>73</v>
      </c>
      <c r="D26" s="27" t="s">
        <v>74</v>
      </c>
      <c r="E26" s="26" t="s">
        <v>79</v>
      </c>
      <c r="F26" s="44" t="s">
        <v>80</v>
      </c>
      <c r="G26" s="26">
        <v>500207510468</v>
      </c>
      <c r="H26" s="26" t="s">
        <v>81</v>
      </c>
      <c r="I26" s="26">
        <v>3476745</v>
      </c>
      <c r="J26" s="26" t="s">
        <v>25</v>
      </c>
      <c r="K26" s="33">
        <v>43475</v>
      </c>
      <c r="L26" s="30" t="s">
        <v>78</v>
      </c>
      <c r="M26" s="30"/>
      <c r="N26" s="27" t="s">
        <v>27</v>
      </c>
      <c r="O26" s="27"/>
    </row>
    <row r="27" spans="1:15">
      <c r="A27" s="168" t="s">
        <v>82</v>
      </c>
      <c r="B27" s="72">
        <v>5</v>
      </c>
      <c r="C27" s="72" t="s">
        <v>83</v>
      </c>
      <c r="D27" s="72" t="s">
        <v>84</v>
      </c>
      <c r="E27" s="166" t="s">
        <v>15</v>
      </c>
      <c r="F27" s="166" t="s">
        <v>15</v>
      </c>
      <c r="G27" s="166" t="s">
        <v>15</v>
      </c>
      <c r="H27" s="166" t="s">
        <v>15</v>
      </c>
      <c r="I27" s="166" t="s">
        <v>15</v>
      </c>
      <c r="J27" s="166"/>
      <c r="K27" s="167">
        <v>43475</v>
      </c>
      <c r="L27" s="170" t="s">
        <v>15</v>
      </c>
      <c r="M27" s="170"/>
      <c r="N27" s="72" t="s">
        <v>27</v>
      </c>
      <c r="O27" s="72"/>
    </row>
    <row r="28" spans="1:15" outlineLevel="1">
      <c r="A28" s="27" t="s">
        <v>1118</v>
      </c>
      <c r="B28" s="27">
        <v>1</v>
      </c>
      <c r="C28" s="27" t="s">
        <v>83</v>
      </c>
      <c r="D28" s="27" t="s">
        <v>84</v>
      </c>
      <c r="E28" s="26">
        <v>114977</v>
      </c>
      <c r="F28" s="44" t="s">
        <v>85</v>
      </c>
      <c r="G28" s="26" t="s">
        <v>15</v>
      </c>
      <c r="H28" s="26" t="s">
        <v>86</v>
      </c>
      <c r="I28" s="26">
        <v>3476753</v>
      </c>
      <c r="J28" s="26" t="s">
        <v>25</v>
      </c>
      <c r="K28" s="33">
        <v>43475</v>
      </c>
      <c r="L28" s="30" t="s">
        <v>87</v>
      </c>
      <c r="M28" s="30"/>
      <c r="N28" s="27" t="s">
        <v>27</v>
      </c>
      <c r="O28" s="27"/>
    </row>
    <row r="29" spans="1:15" outlineLevel="1">
      <c r="A29" s="27" t="s">
        <v>1118</v>
      </c>
      <c r="B29" s="27">
        <v>1</v>
      </c>
      <c r="C29" s="27" t="s">
        <v>83</v>
      </c>
      <c r="D29" s="27" t="s">
        <v>84</v>
      </c>
      <c r="E29" s="26">
        <v>114968</v>
      </c>
      <c r="F29" s="44" t="s">
        <v>88</v>
      </c>
      <c r="G29" s="26" t="s">
        <v>15</v>
      </c>
      <c r="H29" s="26" t="s">
        <v>89</v>
      </c>
      <c r="I29" s="26">
        <v>3476751</v>
      </c>
      <c r="J29" s="26" t="s">
        <v>25</v>
      </c>
      <c r="K29" s="33">
        <v>43475</v>
      </c>
      <c r="L29" s="30" t="s">
        <v>90</v>
      </c>
      <c r="M29" s="30"/>
      <c r="N29" s="27" t="s">
        <v>27</v>
      </c>
      <c r="O29" s="27"/>
    </row>
    <row r="30" spans="1:15" outlineLevel="1">
      <c r="A30" s="27" t="s">
        <v>1118</v>
      </c>
      <c r="B30" s="27">
        <v>1</v>
      </c>
      <c r="C30" s="27" t="s">
        <v>83</v>
      </c>
      <c r="D30" s="27" t="s">
        <v>84</v>
      </c>
      <c r="E30" s="26">
        <v>115948</v>
      </c>
      <c r="F30" s="44" t="s">
        <v>91</v>
      </c>
      <c r="G30" s="26" t="s">
        <v>15</v>
      </c>
      <c r="H30" s="26" t="s">
        <v>92</v>
      </c>
      <c r="I30" s="26">
        <v>3476754</v>
      </c>
      <c r="J30" s="26" t="s">
        <v>25</v>
      </c>
      <c r="K30" s="33">
        <v>43475</v>
      </c>
      <c r="L30" s="30" t="s">
        <v>93</v>
      </c>
      <c r="M30" s="30"/>
      <c r="N30" s="27" t="s">
        <v>27</v>
      </c>
      <c r="O30" s="27"/>
    </row>
    <row r="31" spans="1:15" outlineLevel="1">
      <c r="A31" s="27" t="s">
        <v>1118</v>
      </c>
      <c r="B31" s="27">
        <v>1</v>
      </c>
      <c r="C31" s="27" t="s">
        <v>83</v>
      </c>
      <c r="D31" s="27" t="s">
        <v>84</v>
      </c>
      <c r="E31" s="26">
        <v>115956</v>
      </c>
      <c r="F31" s="44" t="s">
        <v>95</v>
      </c>
      <c r="G31" s="26" t="s">
        <v>15</v>
      </c>
      <c r="H31" s="26" t="s">
        <v>96</v>
      </c>
      <c r="I31" s="26">
        <v>3476752</v>
      </c>
      <c r="J31" s="26" t="s">
        <v>25</v>
      </c>
      <c r="K31" s="33">
        <v>43475</v>
      </c>
      <c r="L31" s="30" t="s">
        <v>90</v>
      </c>
      <c r="M31" s="30"/>
      <c r="N31" s="27" t="s">
        <v>27</v>
      </c>
      <c r="O31" s="27"/>
    </row>
    <row r="32" spans="1:15" outlineLevel="1">
      <c r="A32" s="27" t="s">
        <v>1118</v>
      </c>
      <c r="B32" s="27">
        <v>1</v>
      </c>
      <c r="C32" s="27" t="s">
        <v>83</v>
      </c>
      <c r="D32" s="27" t="s">
        <v>84</v>
      </c>
      <c r="E32" s="26">
        <v>115949</v>
      </c>
      <c r="F32" s="44" t="s">
        <v>97</v>
      </c>
      <c r="G32" s="26" t="s">
        <v>15</v>
      </c>
      <c r="H32" s="26" t="s">
        <v>98</v>
      </c>
      <c r="I32" s="26">
        <v>3476755</v>
      </c>
      <c r="J32" s="26" t="s">
        <v>25</v>
      </c>
      <c r="K32" s="33">
        <v>43475</v>
      </c>
      <c r="L32" s="30" t="s">
        <v>78</v>
      </c>
      <c r="M32" s="30"/>
      <c r="N32" s="27" t="s">
        <v>27</v>
      </c>
      <c r="O32" s="27"/>
    </row>
    <row r="33" spans="1:15">
      <c r="A33" s="168" t="s">
        <v>99</v>
      </c>
      <c r="B33" s="72">
        <v>12</v>
      </c>
      <c r="C33" s="72" t="s">
        <v>35</v>
      </c>
      <c r="D33" s="72" t="s">
        <v>35</v>
      </c>
      <c r="E33" s="171" t="s">
        <v>15</v>
      </c>
      <c r="F33" s="171" t="s">
        <v>15</v>
      </c>
      <c r="G33" s="166" t="s">
        <v>35</v>
      </c>
      <c r="H33" s="166" t="s">
        <v>15</v>
      </c>
      <c r="I33" s="166" t="s">
        <v>35</v>
      </c>
      <c r="J33" s="166"/>
      <c r="K33" s="167">
        <v>43475</v>
      </c>
      <c r="L33" s="170" t="s">
        <v>15</v>
      </c>
      <c r="M33" s="170"/>
      <c r="N33" s="72" t="s">
        <v>27</v>
      </c>
      <c r="O33" s="72"/>
    </row>
    <row r="34" spans="1:15" outlineLevel="1">
      <c r="A34" s="27" t="s">
        <v>99</v>
      </c>
      <c r="B34" s="27">
        <v>1</v>
      </c>
      <c r="C34" s="27" t="s">
        <v>244</v>
      </c>
      <c r="D34" s="27" t="s">
        <v>724</v>
      </c>
      <c r="E34" s="31" t="s">
        <v>725</v>
      </c>
      <c r="F34" s="44" t="s">
        <v>726</v>
      </c>
      <c r="G34" s="26" t="s">
        <v>35</v>
      </c>
      <c r="H34" s="26" t="s">
        <v>727</v>
      </c>
      <c r="I34" s="26" t="s">
        <v>35</v>
      </c>
      <c r="J34" s="26" t="s">
        <v>25</v>
      </c>
      <c r="K34" s="33">
        <v>43475</v>
      </c>
      <c r="L34" s="30" t="s">
        <v>728</v>
      </c>
      <c r="M34" s="30"/>
      <c r="N34" s="27" t="s">
        <v>27</v>
      </c>
      <c r="O34" s="27"/>
    </row>
    <row r="35" spans="1:15" outlineLevel="1">
      <c r="A35" s="27" t="s">
        <v>99</v>
      </c>
      <c r="B35" s="27">
        <v>1</v>
      </c>
      <c r="C35" s="27" t="s">
        <v>244</v>
      </c>
      <c r="D35" s="27" t="s">
        <v>724</v>
      </c>
      <c r="E35" s="31" t="s">
        <v>729</v>
      </c>
      <c r="F35" s="44" t="s">
        <v>730</v>
      </c>
      <c r="G35" s="26" t="s">
        <v>35</v>
      </c>
      <c r="H35" s="26" t="s">
        <v>731</v>
      </c>
      <c r="I35" s="26" t="s">
        <v>35</v>
      </c>
      <c r="J35" s="26" t="s">
        <v>25</v>
      </c>
      <c r="K35" s="33">
        <v>43475</v>
      </c>
      <c r="L35" s="30" t="s">
        <v>565</v>
      </c>
      <c r="M35" s="30"/>
      <c r="N35" s="27" t="s">
        <v>27</v>
      </c>
      <c r="O35" s="27"/>
    </row>
    <row r="36" spans="1:15" outlineLevel="1">
      <c r="A36" s="27" t="s">
        <v>99</v>
      </c>
      <c r="B36" s="27">
        <v>1</v>
      </c>
      <c r="C36" s="27" t="s">
        <v>244</v>
      </c>
      <c r="D36" s="27" t="s">
        <v>724</v>
      </c>
      <c r="E36" s="31" t="s">
        <v>732</v>
      </c>
      <c r="F36" s="44" t="s">
        <v>733</v>
      </c>
      <c r="G36" s="26" t="s">
        <v>35</v>
      </c>
      <c r="H36" s="26" t="s">
        <v>734</v>
      </c>
      <c r="I36" s="26" t="s">
        <v>35</v>
      </c>
      <c r="J36" s="26" t="s">
        <v>25</v>
      </c>
      <c r="K36" s="33">
        <v>43475</v>
      </c>
      <c r="L36" s="30" t="s">
        <v>1119</v>
      </c>
      <c r="M36" s="30"/>
      <c r="N36" s="30" t="s">
        <v>27</v>
      </c>
      <c r="O36" s="27"/>
    </row>
    <row r="37" spans="1:15" outlineLevel="1">
      <c r="A37" s="27" t="s">
        <v>99</v>
      </c>
      <c r="B37" s="27">
        <v>1</v>
      </c>
      <c r="C37" s="27" t="s">
        <v>244</v>
      </c>
      <c r="D37" s="27" t="s">
        <v>724</v>
      </c>
      <c r="E37" s="31" t="s">
        <v>735</v>
      </c>
      <c r="F37" s="44" t="s">
        <v>736</v>
      </c>
      <c r="G37" s="26" t="s">
        <v>35</v>
      </c>
      <c r="H37" s="26" t="s">
        <v>737</v>
      </c>
      <c r="I37" s="26" t="s">
        <v>35</v>
      </c>
      <c r="J37" s="26" t="s">
        <v>25</v>
      </c>
      <c r="K37" s="33">
        <v>43475</v>
      </c>
      <c r="L37" s="30" t="s">
        <v>1119</v>
      </c>
      <c r="M37" s="30"/>
      <c r="N37" s="30" t="s">
        <v>27</v>
      </c>
      <c r="O37" s="27"/>
    </row>
    <row r="38" spans="1:15" outlineLevel="1">
      <c r="A38" s="27" t="s">
        <v>99</v>
      </c>
      <c r="B38" s="27">
        <v>1</v>
      </c>
      <c r="C38" s="27" t="s">
        <v>244</v>
      </c>
      <c r="D38" s="27" t="s">
        <v>724</v>
      </c>
      <c r="E38" s="31" t="s">
        <v>738</v>
      </c>
      <c r="F38" s="44" t="s">
        <v>739</v>
      </c>
      <c r="G38" s="26" t="s">
        <v>35</v>
      </c>
      <c r="H38" s="26" t="s">
        <v>740</v>
      </c>
      <c r="I38" s="26" t="s">
        <v>35</v>
      </c>
      <c r="J38" s="26" t="s">
        <v>25</v>
      </c>
      <c r="K38" s="33">
        <v>43475</v>
      </c>
      <c r="L38" s="30" t="s">
        <v>1119</v>
      </c>
      <c r="M38" s="30"/>
      <c r="N38" s="30" t="s">
        <v>27</v>
      </c>
      <c r="O38" s="27"/>
    </row>
    <row r="39" spans="1:15" outlineLevel="1">
      <c r="A39" s="27" t="s">
        <v>99</v>
      </c>
      <c r="B39" s="27">
        <v>1</v>
      </c>
      <c r="C39" s="27" t="s">
        <v>244</v>
      </c>
      <c r="D39" s="27" t="s">
        <v>724</v>
      </c>
      <c r="E39" s="31" t="s">
        <v>741</v>
      </c>
      <c r="F39" s="44" t="s">
        <v>742</v>
      </c>
      <c r="G39" s="26" t="s">
        <v>35</v>
      </c>
      <c r="H39" s="26" t="s">
        <v>743</v>
      </c>
      <c r="I39" s="26" t="s">
        <v>35</v>
      </c>
      <c r="J39" s="26" t="s">
        <v>25</v>
      </c>
      <c r="K39" s="33">
        <v>43475</v>
      </c>
      <c r="L39" s="30" t="s">
        <v>1119</v>
      </c>
      <c r="M39" s="30"/>
      <c r="N39" s="30" t="s">
        <v>27</v>
      </c>
      <c r="O39" s="27"/>
    </row>
    <row r="40" spans="1:15" outlineLevel="1">
      <c r="A40" s="27" t="s">
        <v>99</v>
      </c>
      <c r="B40" s="27">
        <v>1</v>
      </c>
      <c r="C40" s="27" t="s">
        <v>244</v>
      </c>
      <c r="D40" s="27" t="s">
        <v>724</v>
      </c>
      <c r="E40" s="31" t="s">
        <v>744</v>
      </c>
      <c r="F40" s="44" t="s">
        <v>745</v>
      </c>
      <c r="G40" s="26" t="s">
        <v>35</v>
      </c>
      <c r="H40" s="26" t="s">
        <v>746</v>
      </c>
      <c r="I40" s="26" t="s">
        <v>35</v>
      </c>
      <c r="J40" s="26" t="s">
        <v>25</v>
      </c>
      <c r="K40" s="33">
        <v>43475</v>
      </c>
      <c r="L40" s="30" t="s">
        <v>1119</v>
      </c>
      <c r="M40" s="30"/>
      <c r="N40" s="30" t="s">
        <v>27</v>
      </c>
      <c r="O40" s="27"/>
    </row>
    <row r="41" spans="1:15" outlineLevel="1">
      <c r="A41" s="27" t="s">
        <v>99</v>
      </c>
      <c r="B41" s="27">
        <v>1</v>
      </c>
      <c r="C41" s="27" t="s">
        <v>244</v>
      </c>
      <c r="D41" s="27" t="s">
        <v>724</v>
      </c>
      <c r="E41" s="31" t="s">
        <v>747</v>
      </c>
      <c r="F41" s="44" t="s">
        <v>748</v>
      </c>
      <c r="G41" s="26" t="s">
        <v>35</v>
      </c>
      <c r="H41" s="26" t="s">
        <v>749</v>
      </c>
      <c r="I41" s="26" t="s">
        <v>35</v>
      </c>
      <c r="J41" s="26" t="s">
        <v>25</v>
      </c>
      <c r="K41" s="33">
        <v>43475</v>
      </c>
      <c r="L41" s="30" t="s">
        <v>1119</v>
      </c>
      <c r="M41" s="30"/>
      <c r="N41" s="30" t="s">
        <v>27</v>
      </c>
      <c r="O41" s="27"/>
    </row>
    <row r="42" spans="1:15" outlineLevel="1">
      <c r="A42" s="27" t="s">
        <v>99</v>
      </c>
      <c r="B42" s="27">
        <v>1</v>
      </c>
      <c r="C42" s="27" t="s">
        <v>244</v>
      </c>
      <c r="D42" s="27" t="s">
        <v>724</v>
      </c>
      <c r="E42" s="31" t="s">
        <v>750</v>
      </c>
      <c r="F42" s="44" t="s">
        <v>751</v>
      </c>
      <c r="G42" s="26" t="s">
        <v>35</v>
      </c>
      <c r="H42" s="26" t="s">
        <v>752</v>
      </c>
      <c r="I42" s="26" t="s">
        <v>35</v>
      </c>
      <c r="J42" s="26" t="s">
        <v>25</v>
      </c>
      <c r="K42" s="33">
        <v>43475</v>
      </c>
      <c r="L42" s="30" t="s">
        <v>1119</v>
      </c>
      <c r="M42" s="30"/>
      <c r="N42" s="30" t="s">
        <v>27</v>
      </c>
      <c r="O42" s="27"/>
    </row>
    <row r="43" spans="1:15" outlineLevel="1">
      <c r="A43" s="27" t="s">
        <v>99</v>
      </c>
      <c r="B43" s="27">
        <v>1</v>
      </c>
      <c r="C43" s="27" t="s">
        <v>244</v>
      </c>
      <c r="D43" s="27" t="s">
        <v>724</v>
      </c>
      <c r="E43" s="31" t="s">
        <v>753</v>
      </c>
      <c r="F43" s="44" t="s">
        <v>754</v>
      </c>
      <c r="G43" s="26" t="s">
        <v>35</v>
      </c>
      <c r="H43" s="26" t="s">
        <v>755</v>
      </c>
      <c r="I43" s="26" t="s">
        <v>35</v>
      </c>
      <c r="J43" s="26" t="s">
        <v>25</v>
      </c>
      <c r="K43" s="33">
        <v>43475</v>
      </c>
      <c r="L43" s="30" t="s">
        <v>1119</v>
      </c>
      <c r="M43" s="30"/>
      <c r="N43" s="30" t="s">
        <v>27</v>
      </c>
      <c r="O43" s="27"/>
    </row>
    <row r="44" spans="1:15" outlineLevel="1">
      <c r="A44" s="27" t="s">
        <v>99</v>
      </c>
      <c r="B44" s="27">
        <v>1</v>
      </c>
      <c r="C44" s="27" t="s">
        <v>244</v>
      </c>
      <c r="D44" s="27" t="s">
        <v>724</v>
      </c>
      <c r="E44" s="31" t="s">
        <v>756</v>
      </c>
      <c r="F44" s="44" t="s">
        <v>757</v>
      </c>
      <c r="G44" s="26" t="s">
        <v>35</v>
      </c>
      <c r="H44" s="26" t="s">
        <v>758</v>
      </c>
      <c r="I44" s="26" t="s">
        <v>35</v>
      </c>
      <c r="J44" s="26" t="s">
        <v>25</v>
      </c>
      <c r="K44" s="33">
        <v>43475</v>
      </c>
      <c r="L44" s="30" t="s">
        <v>1119</v>
      </c>
      <c r="M44" s="30"/>
      <c r="N44" s="30" t="s">
        <v>27</v>
      </c>
      <c r="O44" s="27"/>
    </row>
    <row r="45" spans="1:15" outlineLevel="1">
      <c r="A45" s="27" t="s">
        <v>99</v>
      </c>
      <c r="B45" s="27">
        <v>1</v>
      </c>
      <c r="C45" s="27" t="s">
        <v>244</v>
      </c>
      <c r="D45" s="27" t="s">
        <v>724</v>
      </c>
      <c r="E45" s="31" t="s">
        <v>759</v>
      </c>
      <c r="F45" s="44" t="s">
        <v>760</v>
      </c>
      <c r="G45" s="26" t="s">
        <v>35</v>
      </c>
      <c r="H45" s="26" t="s">
        <v>761</v>
      </c>
      <c r="I45" s="26" t="s">
        <v>35</v>
      </c>
      <c r="J45" s="26" t="s">
        <v>25</v>
      </c>
      <c r="K45" s="33">
        <v>43475</v>
      </c>
      <c r="L45" s="30" t="s">
        <v>1119</v>
      </c>
      <c r="M45" s="30"/>
      <c r="N45" s="30" t="s">
        <v>27</v>
      </c>
      <c r="O45" s="27"/>
    </row>
    <row r="46" spans="1:15">
      <c r="A46" s="168" t="s">
        <v>762</v>
      </c>
      <c r="B46" s="72">
        <v>1</v>
      </c>
      <c r="C46" s="72" t="s">
        <v>763</v>
      </c>
      <c r="D46" s="72" t="s">
        <v>764</v>
      </c>
      <c r="E46" s="166" t="s">
        <v>765</v>
      </c>
      <c r="F46" s="166" t="s">
        <v>766</v>
      </c>
      <c r="G46" s="166" t="s">
        <v>15</v>
      </c>
      <c r="H46" s="166" t="s">
        <v>767</v>
      </c>
      <c r="I46" s="166" t="s">
        <v>15</v>
      </c>
      <c r="J46" s="166" t="s">
        <v>25</v>
      </c>
      <c r="K46" s="167">
        <v>43881</v>
      </c>
      <c r="L46" s="170" t="s">
        <v>117</v>
      </c>
      <c r="M46" s="170"/>
      <c r="N46" s="72" t="s">
        <v>27</v>
      </c>
      <c r="O46" s="72"/>
    </row>
    <row r="47" spans="1:15">
      <c r="A47" s="168" t="s">
        <v>415</v>
      </c>
      <c r="B47" s="72">
        <v>50</v>
      </c>
      <c r="C47" s="72" t="s">
        <v>35</v>
      </c>
      <c r="D47" s="72" t="s">
        <v>35</v>
      </c>
      <c r="E47" s="166" t="s">
        <v>15</v>
      </c>
      <c r="F47" s="166" t="s">
        <v>14</v>
      </c>
      <c r="G47" s="166" t="s">
        <v>35</v>
      </c>
      <c r="H47" s="166" t="s">
        <v>35</v>
      </c>
      <c r="I47" s="166" t="s">
        <v>35</v>
      </c>
      <c r="J47" s="166" t="s">
        <v>25</v>
      </c>
      <c r="K47" s="167">
        <v>43475</v>
      </c>
      <c r="L47" s="170" t="s">
        <v>102</v>
      </c>
      <c r="M47" s="170"/>
      <c r="N47" s="72" t="s">
        <v>27</v>
      </c>
      <c r="O47" s="72"/>
    </row>
    <row r="48" spans="1:15">
      <c r="A48" s="168" t="s">
        <v>340</v>
      </c>
      <c r="B48" s="72">
        <v>2</v>
      </c>
      <c r="C48" s="72" t="s">
        <v>341</v>
      </c>
      <c r="D48" s="72" t="s">
        <v>342</v>
      </c>
      <c r="E48" s="166" t="s">
        <v>35</v>
      </c>
      <c r="F48" s="166" t="s">
        <v>101</v>
      </c>
      <c r="G48" s="166" t="s">
        <v>343</v>
      </c>
      <c r="H48" s="166" t="s">
        <v>344</v>
      </c>
      <c r="I48" s="166"/>
      <c r="J48" s="166" t="s">
        <v>25</v>
      </c>
      <c r="K48" s="167">
        <v>45002</v>
      </c>
      <c r="L48" s="170" t="s">
        <v>102</v>
      </c>
      <c r="M48" s="170"/>
      <c r="N48" s="72" t="s">
        <v>27</v>
      </c>
      <c r="O48" s="72"/>
    </row>
    <row r="49" spans="1:15">
      <c r="A49" s="168" t="s">
        <v>347</v>
      </c>
      <c r="B49" s="72">
        <v>2</v>
      </c>
      <c r="C49" s="72" t="s">
        <v>35</v>
      </c>
      <c r="D49" s="72" t="s">
        <v>35</v>
      </c>
      <c r="E49" s="166" t="s">
        <v>15</v>
      </c>
      <c r="F49" s="166" t="s">
        <v>14</v>
      </c>
      <c r="G49" s="166" t="s">
        <v>15</v>
      </c>
      <c r="H49" s="166" t="s">
        <v>15</v>
      </c>
      <c r="I49" s="166" t="s">
        <v>15</v>
      </c>
      <c r="J49" s="166"/>
      <c r="K49" s="167">
        <v>43475</v>
      </c>
      <c r="L49" s="170" t="s">
        <v>102</v>
      </c>
      <c r="M49" s="170"/>
      <c r="N49" s="72" t="s">
        <v>27</v>
      </c>
      <c r="O49" s="72"/>
    </row>
    <row r="50" spans="1:15" outlineLevel="1">
      <c r="A50" s="27" t="s">
        <v>100</v>
      </c>
      <c r="B50" s="27">
        <v>1</v>
      </c>
      <c r="C50" s="27" t="s">
        <v>35</v>
      </c>
      <c r="D50" s="27" t="s">
        <v>35</v>
      </c>
      <c r="E50" s="26" t="s">
        <v>35</v>
      </c>
      <c r="F50" s="26" t="s">
        <v>101</v>
      </c>
      <c r="G50" s="26" t="s">
        <v>35</v>
      </c>
      <c r="H50" s="26"/>
      <c r="I50" s="26" t="s">
        <v>35</v>
      </c>
      <c r="J50" s="26" t="s">
        <v>25</v>
      </c>
      <c r="K50" s="33">
        <v>43475</v>
      </c>
      <c r="L50" s="30" t="s">
        <v>102</v>
      </c>
      <c r="M50" s="30"/>
      <c r="N50" s="27" t="s">
        <v>27</v>
      </c>
      <c r="O50" s="27"/>
    </row>
    <row r="51" spans="1:15" outlineLevel="1">
      <c r="A51" s="27" t="s">
        <v>100</v>
      </c>
      <c r="B51" s="27">
        <v>1</v>
      </c>
      <c r="C51" s="27" t="s">
        <v>35</v>
      </c>
      <c r="D51" s="27" t="s">
        <v>35</v>
      </c>
      <c r="E51" s="26" t="s">
        <v>35</v>
      </c>
      <c r="F51" s="26" t="s">
        <v>101</v>
      </c>
      <c r="G51" s="26" t="s">
        <v>35</v>
      </c>
      <c r="H51" s="26"/>
      <c r="I51" s="26" t="s">
        <v>35</v>
      </c>
      <c r="J51" s="26" t="s">
        <v>25</v>
      </c>
      <c r="K51" s="33">
        <v>43475</v>
      </c>
      <c r="L51" s="30" t="s">
        <v>102</v>
      </c>
      <c r="M51" s="30"/>
      <c r="N51" s="27" t="s">
        <v>27</v>
      </c>
      <c r="O51" s="27"/>
    </row>
    <row r="52" spans="1:15">
      <c r="A52" s="168" t="s">
        <v>768</v>
      </c>
      <c r="B52" s="72">
        <v>5</v>
      </c>
      <c r="C52" s="72" t="s">
        <v>483</v>
      </c>
      <c r="D52" s="72" t="s">
        <v>769</v>
      </c>
      <c r="E52" s="166" t="s">
        <v>15</v>
      </c>
      <c r="F52" s="166" t="s">
        <v>14</v>
      </c>
      <c r="G52" s="166" t="s">
        <v>770</v>
      </c>
      <c r="H52" s="166" t="s">
        <v>15</v>
      </c>
      <c r="I52" s="166" t="s">
        <v>15</v>
      </c>
      <c r="J52" s="166"/>
      <c r="K52" s="167">
        <v>44558</v>
      </c>
      <c r="L52" s="170" t="s">
        <v>15</v>
      </c>
      <c r="M52" s="170"/>
      <c r="N52" s="72" t="s">
        <v>27</v>
      </c>
      <c r="O52" s="72"/>
    </row>
    <row r="53" spans="1:15" outlineLevel="1">
      <c r="A53" s="27" t="s">
        <v>768</v>
      </c>
      <c r="B53" s="27">
        <v>1</v>
      </c>
      <c r="C53" s="27" t="s">
        <v>483</v>
      </c>
      <c r="D53" s="27" t="s">
        <v>769</v>
      </c>
      <c r="E53" s="26" t="s">
        <v>771</v>
      </c>
      <c r="F53" s="26" t="s">
        <v>772</v>
      </c>
      <c r="G53" s="26" t="s">
        <v>770</v>
      </c>
      <c r="H53" s="26" t="s">
        <v>773</v>
      </c>
      <c r="I53" s="26">
        <v>3573196</v>
      </c>
      <c r="J53" s="26" t="s">
        <v>38</v>
      </c>
      <c r="K53" s="33"/>
      <c r="L53" s="30" t="s">
        <v>102</v>
      </c>
      <c r="M53" s="30"/>
      <c r="N53" s="27" t="s">
        <v>27</v>
      </c>
      <c r="O53" s="27"/>
    </row>
    <row r="54" spans="1:15" outlineLevel="1">
      <c r="A54" s="27" t="s">
        <v>768</v>
      </c>
      <c r="B54" s="27">
        <v>1</v>
      </c>
      <c r="C54" s="27" t="s">
        <v>483</v>
      </c>
      <c r="D54" s="27" t="s">
        <v>769</v>
      </c>
      <c r="E54" s="26" t="s">
        <v>774</v>
      </c>
      <c r="F54" s="26" t="s">
        <v>775</v>
      </c>
      <c r="G54" s="26" t="s">
        <v>770</v>
      </c>
      <c r="H54" s="26" t="s">
        <v>776</v>
      </c>
      <c r="I54" s="26">
        <v>3573195</v>
      </c>
      <c r="J54" s="26" t="s">
        <v>38</v>
      </c>
      <c r="K54" s="33"/>
      <c r="L54" s="30" t="s">
        <v>102</v>
      </c>
      <c r="M54" s="30"/>
      <c r="N54" s="27" t="s">
        <v>27</v>
      </c>
      <c r="O54" s="27"/>
    </row>
    <row r="55" spans="1:15" outlineLevel="1">
      <c r="A55" s="27" t="s">
        <v>768</v>
      </c>
      <c r="B55" s="27">
        <v>1</v>
      </c>
      <c r="C55" s="27" t="s">
        <v>483</v>
      </c>
      <c r="D55" s="27" t="s">
        <v>769</v>
      </c>
      <c r="E55" s="26" t="s">
        <v>777</v>
      </c>
      <c r="F55" s="26" t="s">
        <v>778</v>
      </c>
      <c r="G55" s="26" t="s">
        <v>770</v>
      </c>
      <c r="H55" s="26" t="s">
        <v>779</v>
      </c>
      <c r="I55" s="26">
        <v>3573198</v>
      </c>
      <c r="J55" s="26" t="s">
        <v>38</v>
      </c>
      <c r="K55" s="33"/>
      <c r="L55" s="30" t="s">
        <v>102</v>
      </c>
      <c r="M55" s="30"/>
      <c r="N55" s="27" t="s">
        <v>27</v>
      </c>
      <c r="O55" s="27"/>
    </row>
    <row r="56" spans="1:15" outlineLevel="1">
      <c r="A56" s="27" t="s">
        <v>768</v>
      </c>
      <c r="B56" s="27">
        <v>1</v>
      </c>
      <c r="C56" s="27" t="s">
        <v>483</v>
      </c>
      <c r="D56" s="27" t="s">
        <v>769</v>
      </c>
      <c r="E56" s="26" t="s">
        <v>780</v>
      </c>
      <c r="F56" s="26" t="s">
        <v>781</v>
      </c>
      <c r="G56" s="26" t="s">
        <v>770</v>
      </c>
      <c r="H56" s="26" t="s">
        <v>782</v>
      </c>
      <c r="I56" s="26">
        <v>3573197</v>
      </c>
      <c r="J56" s="26" t="s">
        <v>38</v>
      </c>
      <c r="K56" s="33"/>
      <c r="L56" s="30" t="s">
        <v>102</v>
      </c>
      <c r="M56" s="30"/>
      <c r="N56" s="27" t="s">
        <v>27</v>
      </c>
      <c r="O56" s="27"/>
    </row>
    <row r="57" spans="1:15" outlineLevel="1">
      <c r="A57" s="27" t="s">
        <v>768</v>
      </c>
      <c r="B57" s="27">
        <v>1</v>
      </c>
      <c r="C57" s="27" t="s">
        <v>483</v>
      </c>
      <c r="D57" s="27" t="s">
        <v>769</v>
      </c>
      <c r="E57" s="26" t="s">
        <v>783</v>
      </c>
      <c r="F57" s="26" t="s">
        <v>784</v>
      </c>
      <c r="G57" s="26" t="s">
        <v>770</v>
      </c>
      <c r="H57" s="26" t="s">
        <v>785</v>
      </c>
      <c r="I57" s="26">
        <v>3573199</v>
      </c>
      <c r="J57" s="26" t="s">
        <v>38</v>
      </c>
      <c r="K57" s="33"/>
      <c r="L57" s="30" t="s">
        <v>102</v>
      </c>
      <c r="M57" s="30"/>
      <c r="N57" s="27" t="s">
        <v>27</v>
      </c>
      <c r="O57" s="27"/>
    </row>
    <row r="58" spans="1:15">
      <c r="A58" s="72" t="s">
        <v>786</v>
      </c>
      <c r="B58" s="72">
        <v>1</v>
      </c>
      <c r="C58" s="72" t="s">
        <v>787</v>
      </c>
      <c r="D58" s="72" t="s">
        <v>788</v>
      </c>
      <c r="E58" s="166" t="s">
        <v>789</v>
      </c>
      <c r="F58" s="166" t="s">
        <v>790</v>
      </c>
      <c r="G58" s="166">
        <v>500204420493</v>
      </c>
      <c r="H58" s="166" t="s">
        <v>791</v>
      </c>
      <c r="I58" s="166" t="s">
        <v>35</v>
      </c>
      <c r="J58" s="166" t="s">
        <v>38</v>
      </c>
      <c r="K58" s="167">
        <v>43475</v>
      </c>
      <c r="L58" s="170" t="s">
        <v>1120</v>
      </c>
      <c r="M58" s="170"/>
      <c r="N58" s="72" t="s">
        <v>27</v>
      </c>
      <c r="O58" s="72"/>
    </row>
    <row r="59" spans="1:15">
      <c r="A59" s="168" t="s">
        <v>104</v>
      </c>
      <c r="B59" s="72">
        <v>2</v>
      </c>
      <c r="C59" s="72" t="s">
        <v>993</v>
      </c>
      <c r="D59" s="72" t="s">
        <v>35</v>
      </c>
      <c r="E59" s="166" t="s">
        <v>15</v>
      </c>
      <c r="F59" s="166" t="s">
        <v>14</v>
      </c>
      <c r="G59" s="166" t="s">
        <v>15</v>
      </c>
      <c r="H59" s="166" t="s">
        <v>15</v>
      </c>
      <c r="I59" s="72" t="s">
        <v>15</v>
      </c>
      <c r="J59" s="72"/>
      <c r="K59" s="167">
        <v>43475</v>
      </c>
      <c r="L59" s="170"/>
      <c r="M59" s="170"/>
      <c r="N59" s="72" t="s">
        <v>27</v>
      </c>
      <c r="O59" s="72"/>
    </row>
    <row r="60" spans="1:15" outlineLevel="1">
      <c r="A60" s="27" t="s">
        <v>104</v>
      </c>
      <c r="B60" s="27">
        <v>1</v>
      </c>
      <c r="C60" s="27" t="s">
        <v>35</v>
      </c>
      <c r="D60" s="27">
        <v>1</v>
      </c>
      <c r="E60" s="26"/>
      <c r="F60" s="26" t="e">
        <f>#N/A</f>
        <v>#N/A</v>
      </c>
      <c r="G60" s="64">
        <v>500204400650</v>
      </c>
      <c r="H60" s="26" t="s">
        <v>106</v>
      </c>
      <c r="I60" s="26">
        <v>3476757</v>
      </c>
      <c r="J60" s="26" t="s">
        <v>25</v>
      </c>
      <c r="K60" s="33">
        <v>43475</v>
      </c>
      <c r="L60" s="30" t="s">
        <v>78</v>
      </c>
      <c r="M60" s="30"/>
      <c r="N60" s="27" t="s">
        <v>27</v>
      </c>
      <c r="O60" s="27"/>
    </row>
    <row r="61" spans="1:15" outlineLevel="1">
      <c r="A61" s="27" t="s">
        <v>104</v>
      </c>
      <c r="B61" s="27">
        <v>1</v>
      </c>
      <c r="C61" s="27" t="s">
        <v>35</v>
      </c>
      <c r="D61" s="27">
        <v>2</v>
      </c>
      <c r="E61" s="26"/>
      <c r="F61" s="26" t="e">
        <f>#N/A</f>
        <v>#N/A</v>
      </c>
      <c r="G61" s="26">
        <v>500207510410</v>
      </c>
      <c r="H61" s="26" t="s">
        <v>109</v>
      </c>
      <c r="I61" s="26">
        <v>3476758</v>
      </c>
      <c r="J61" s="26" t="s">
        <v>25</v>
      </c>
      <c r="K61" s="33">
        <v>43475</v>
      </c>
      <c r="L61" s="30" t="s">
        <v>78</v>
      </c>
      <c r="M61" s="30"/>
      <c r="N61" s="27" t="s">
        <v>27</v>
      </c>
      <c r="O61" s="27"/>
    </row>
    <row r="62" spans="1:15">
      <c r="A62" s="168" t="s">
        <v>110</v>
      </c>
      <c r="B62" s="72">
        <v>8</v>
      </c>
      <c r="C62" s="72" t="s">
        <v>15</v>
      </c>
      <c r="D62" s="72" t="s">
        <v>15</v>
      </c>
      <c r="E62" s="166" t="s">
        <v>15</v>
      </c>
      <c r="F62" s="166" t="s">
        <v>14</v>
      </c>
      <c r="G62" s="166" t="s">
        <v>15</v>
      </c>
      <c r="H62" s="166" t="s">
        <v>15</v>
      </c>
      <c r="I62" s="166"/>
      <c r="J62" s="166"/>
      <c r="K62" s="167" t="s">
        <v>15</v>
      </c>
      <c r="L62" s="170" t="s">
        <v>15</v>
      </c>
      <c r="M62" s="170"/>
      <c r="N62" s="72" t="s">
        <v>27</v>
      </c>
      <c r="O62" s="72"/>
    </row>
    <row r="63" spans="1:15" outlineLevel="1">
      <c r="A63" s="27" t="s">
        <v>792</v>
      </c>
      <c r="B63" s="27">
        <v>1</v>
      </c>
      <c r="C63" s="27" t="s">
        <v>793</v>
      </c>
      <c r="D63" s="27" t="s">
        <v>794</v>
      </c>
      <c r="E63" s="26" t="s">
        <v>795</v>
      </c>
      <c r="F63" s="26" t="s">
        <v>346</v>
      </c>
      <c r="G63" s="26" t="s">
        <v>796</v>
      </c>
      <c r="H63" s="26" t="s">
        <v>797</v>
      </c>
      <c r="I63" s="52"/>
      <c r="J63" s="26" t="s">
        <v>38</v>
      </c>
      <c r="K63" s="33">
        <v>45002</v>
      </c>
      <c r="L63" s="30" t="s">
        <v>102</v>
      </c>
      <c r="M63" s="30"/>
      <c r="N63" s="27" t="s">
        <v>27</v>
      </c>
      <c r="O63" s="27"/>
    </row>
    <row r="64" spans="1:15" outlineLevel="1">
      <c r="A64" s="27" t="s">
        <v>792</v>
      </c>
      <c r="B64" s="27">
        <v>1</v>
      </c>
      <c r="C64" s="27" t="s">
        <v>798</v>
      </c>
      <c r="D64" s="27" t="s">
        <v>799</v>
      </c>
      <c r="E64" s="26" t="s">
        <v>800</v>
      </c>
      <c r="F64" s="26" t="s">
        <v>53</v>
      </c>
      <c r="G64" s="26" t="s">
        <v>801</v>
      </c>
      <c r="H64" s="52"/>
      <c r="I64" s="26"/>
      <c r="J64" s="26" t="s">
        <v>38</v>
      </c>
      <c r="K64" s="33">
        <v>45217</v>
      </c>
      <c r="L64" s="30" t="s">
        <v>152</v>
      </c>
      <c r="M64" s="30"/>
      <c r="N64" s="27" t="s">
        <v>27</v>
      </c>
      <c r="O64" s="27"/>
    </row>
    <row r="65" spans="1:15" outlineLevel="1">
      <c r="A65" s="27" t="s">
        <v>792</v>
      </c>
      <c r="B65" s="27">
        <v>1</v>
      </c>
      <c r="C65" s="27" t="s">
        <v>798</v>
      </c>
      <c r="D65" s="27" t="s">
        <v>799</v>
      </c>
      <c r="E65" s="26" t="s">
        <v>802</v>
      </c>
      <c r="F65" s="26" t="s">
        <v>56</v>
      </c>
      <c r="G65" s="26" t="s">
        <v>801</v>
      </c>
      <c r="H65" s="52"/>
      <c r="I65" s="26"/>
      <c r="J65" s="26" t="s">
        <v>38</v>
      </c>
      <c r="K65" s="33">
        <v>45217</v>
      </c>
      <c r="L65" s="30" t="s">
        <v>152</v>
      </c>
      <c r="M65" s="30"/>
      <c r="N65" s="27" t="s">
        <v>27</v>
      </c>
      <c r="O65" s="27"/>
    </row>
    <row r="66" spans="1:15" outlineLevel="1">
      <c r="A66" s="27" t="s">
        <v>792</v>
      </c>
      <c r="B66" s="27">
        <v>1</v>
      </c>
      <c r="C66" s="27" t="s">
        <v>798</v>
      </c>
      <c r="D66" s="27" t="s">
        <v>799</v>
      </c>
      <c r="E66" s="26" t="s">
        <v>803</v>
      </c>
      <c r="F66" s="26" t="s">
        <v>59</v>
      </c>
      <c r="G66" s="26" t="s">
        <v>801</v>
      </c>
      <c r="H66" s="52"/>
      <c r="I66" s="26"/>
      <c r="J66" s="26" t="s">
        <v>38</v>
      </c>
      <c r="K66" s="33">
        <v>45217</v>
      </c>
      <c r="L66" s="30" t="s">
        <v>445</v>
      </c>
      <c r="M66" s="30"/>
      <c r="N66" s="27" t="s">
        <v>27</v>
      </c>
      <c r="O66" s="27"/>
    </row>
    <row r="67" spans="1:15" outlineLevel="1">
      <c r="A67" s="27" t="s">
        <v>792</v>
      </c>
      <c r="B67" s="27">
        <v>1</v>
      </c>
      <c r="C67" s="27" t="s">
        <v>798</v>
      </c>
      <c r="D67" s="27" t="s">
        <v>799</v>
      </c>
      <c r="E67" s="26" t="s">
        <v>804</v>
      </c>
      <c r="F67" s="26" t="s">
        <v>62</v>
      </c>
      <c r="G67" s="26" t="s">
        <v>801</v>
      </c>
      <c r="H67" s="52"/>
      <c r="I67" s="26"/>
      <c r="J67" s="26" t="s">
        <v>38</v>
      </c>
      <c r="K67" s="33">
        <v>45217</v>
      </c>
      <c r="L67" s="30" t="s">
        <v>805</v>
      </c>
      <c r="M67" s="30"/>
      <c r="N67" s="27" t="s">
        <v>27</v>
      </c>
      <c r="O67" s="27"/>
    </row>
    <row r="68" spans="1:15" outlineLevel="1">
      <c r="A68" s="27" t="s">
        <v>792</v>
      </c>
      <c r="B68" s="27">
        <v>1</v>
      </c>
      <c r="C68" s="27" t="s">
        <v>793</v>
      </c>
      <c r="D68" s="27" t="s">
        <v>1121</v>
      </c>
      <c r="E68" s="26" t="s">
        <v>1085</v>
      </c>
      <c r="F68" s="26" t="s">
        <v>1087</v>
      </c>
      <c r="G68" s="26" t="s">
        <v>1086</v>
      </c>
      <c r="H68" s="52"/>
      <c r="I68" s="26"/>
      <c r="J68" s="26" t="s">
        <v>38</v>
      </c>
      <c r="K68" s="33">
        <v>45539</v>
      </c>
      <c r="L68" s="30" t="s">
        <v>102</v>
      </c>
      <c r="M68" s="30"/>
      <c r="N68" s="27" t="s">
        <v>27</v>
      </c>
      <c r="O68" s="27"/>
    </row>
    <row r="69" spans="1:15" outlineLevel="1">
      <c r="A69" s="27" t="s">
        <v>792</v>
      </c>
      <c r="B69" s="27">
        <v>1</v>
      </c>
      <c r="C69" s="27" t="s">
        <v>793</v>
      </c>
      <c r="D69" s="27" t="s">
        <v>1121</v>
      </c>
      <c r="E69" s="26" t="s">
        <v>1088</v>
      </c>
      <c r="F69" s="26" t="s">
        <v>1089</v>
      </c>
      <c r="G69" s="26" t="s">
        <v>1086</v>
      </c>
      <c r="H69" s="52"/>
      <c r="I69" s="26"/>
      <c r="J69" s="26" t="s">
        <v>38</v>
      </c>
      <c r="K69" s="33">
        <v>45539</v>
      </c>
      <c r="L69" s="30" t="s">
        <v>102</v>
      </c>
      <c r="M69" s="30"/>
      <c r="N69" s="27" t="s">
        <v>27</v>
      </c>
      <c r="O69" s="27"/>
    </row>
    <row r="70" spans="1:15" outlineLevel="1">
      <c r="A70" s="27" t="s">
        <v>792</v>
      </c>
      <c r="B70" s="27">
        <v>1</v>
      </c>
      <c r="C70" s="27" t="s">
        <v>793</v>
      </c>
      <c r="D70" s="27" t="s">
        <v>1121</v>
      </c>
      <c r="E70" s="26" t="s">
        <v>1090</v>
      </c>
      <c r="F70" s="26" t="s">
        <v>1091</v>
      </c>
      <c r="G70" s="26" t="s">
        <v>1086</v>
      </c>
      <c r="H70" s="52"/>
      <c r="I70" s="26"/>
      <c r="J70" s="26" t="s">
        <v>38</v>
      </c>
      <c r="K70" s="33">
        <v>45539</v>
      </c>
      <c r="L70" s="30" t="s">
        <v>102</v>
      </c>
      <c r="M70" s="30"/>
      <c r="N70" s="27" t="s">
        <v>27</v>
      </c>
      <c r="O70" s="27"/>
    </row>
    <row r="71" spans="1:15">
      <c r="A71" s="168" t="s">
        <v>806</v>
      </c>
      <c r="B71" s="72">
        <v>1</v>
      </c>
      <c r="C71" s="72" t="s">
        <v>807</v>
      </c>
      <c r="D71" s="72" t="s">
        <v>35</v>
      </c>
      <c r="E71" s="166" t="s">
        <v>35</v>
      </c>
      <c r="F71" s="166" t="s">
        <v>101</v>
      </c>
      <c r="G71" s="166" t="s">
        <v>35</v>
      </c>
      <c r="H71" s="166" t="s">
        <v>35</v>
      </c>
      <c r="I71" s="166" t="s">
        <v>35</v>
      </c>
      <c r="J71" s="166" t="s">
        <v>38</v>
      </c>
      <c r="K71" s="167">
        <v>43475</v>
      </c>
      <c r="L71" s="170" t="s">
        <v>1122</v>
      </c>
      <c r="M71" s="170"/>
      <c r="N71" s="72" t="s">
        <v>27</v>
      </c>
      <c r="O71" s="72"/>
    </row>
    <row r="72" spans="1:15">
      <c r="A72" s="168" t="s">
        <v>111</v>
      </c>
      <c r="B72" s="72">
        <v>4</v>
      </c>
      <c r="C72" s="72" t="s">
        <v>112</v>
      </c>
      <c r="D72" s="72" t="s">
        <v>113</v>
      </c>
      <c r="E72" s="166" t="s">
        <v>15</v>
      </c>
      <c r="F72" s="166" t="s">
        <v>14</v>
      </c>
      <c r="G72" s="166" t="s">
        <v>15</v>
      </c>
      <c r="H72" s="166" t="s">
        <v>15</v>
      </c>
      <c r="I72" s="166" t="s">
        <v>15</v>
      </c>
      <c r="J72" s="166"/>
      <c r="K72" s="167">
        <v>43475</v>
      </c>
      <c r="L72" s="170" t="s">
        <v>15</v>
      </c>
      <c r="M72" s="170"/>
      <c r="N72" s="72" t="s">
        <v>27</v>
      </c>
      <c r="O72" s="72"/>
    </row>
    <row r="73" spans="1:15" outlineLevel="1">
      <c r="A73" s="27" t="s">
        <v>111</v>
      </c>
      <c r="B73" s="27">
        <v>1</v>
      </c>
      <c r="C73" s="27" t="s">
        <v>112</v>
      </c>
      <c r="D73" s="27" t="s">
        <v>113</v>
      </c>
      <c r="E73" s="26" t="s">
        <v>114</v>
      </c>
      <c r="F73" s="26" t="s">
        <v>115</v>
      </c>
      <c r="G73" s="26" t="s">
        <v>35</v>
      </c>
      <c r="H73" s="26" t="s">
        <v>116</v>
      </c>
      <c r="I73" s="26" t="s">
        <v>35</v>
      </c>
      <c r="J73" s="26" t="s">
        <v>38</v>
      </c>
      <c r="K73" s="33">
        <v>43475</v>
      </c>
      <c r="L73" s="30" t="s">
        <v>1122</v>
      </c>
      <c r="M73" s="30"/>
      <c r="N73" s="27" t="s">
        <v>27</v>
      </c>
      <c r="O73" s="27" t="s">
        <v>1123</v>
      </c>
    </row>
    <row r="74" spans="1:15" outlineLevel="1">
      <c r="A74" s="27" t="s">
        <v>111</v>
      </c>
      <c r="B74" s="27">
        <v>1</v>
      </c>
      <c r="C74" s="27" t="s">
        <v>112</v>
      </c>
      <c r="D74" s="27" t="s">
        <v>113</v>
      </c>
      <c r="E74" s="26" t="s">
        <v>118</v>
      </c>
      <c r="F74" s="26" t="s">
        <v>119</v>
      </c>
      <c r="G74" s="26" t="s">
        <v>35</v>
      </c>
      <c r="H74" s="26" t="s">
        <v>120</v>
      </c>
      <c r="I74" s="26" t="s">
        <v>35</v>
      </c>
      <c r="J74" s="26" t="s">
        <v>38</v>
      </c>
      <c r="K74" s="33">
        <v>43475</v>
      </c>
      <c r="L74" s="30" t="s">
        <v>1122</v>
      </c>
      <c r="M74" s="30"/>
      <c r="N74" s="27" t="s">
        <v>27</v>
      </c>
      <c r="O74" s="27" t="s">
        <v>1123</v>
      </c>
    </row>
    <row r="75" spans="1:15" outlineLevel="1">
      <c r="A75" s="27" t="s">
        <v>111</v>
      </c>
      <c r="B75" s="27">
        <v>1</v>
      </c>
      <c r="C75" s="27" t="s">
        <v>112</v>
      </c>
      <c r="D75" s="27" t="s">
        <v>113</v>
      </c>
      <c r="E75" s="26" t="s">
        <v>121</v>
      </c>
      <c r="F75" s="26" t="s">
        <v>122</v>
      </c>
      <c r="G75" s="26" t="s">
        <v>35</v>
      </c>
      <c r="H75" s="26" t="s">
        <v>123</v>
      </c>
      <c r="I75" s="26" t="s">
        <v>35</v>
      </c>
      <c r="J75" s="26" t="s">
        <v>38</v>
      </c>
      <c r="K75" s="33">
        <v>43475</v>
      </c>
      <c r="L75" s="30" t="s">
        <v>1122</v>
      </c>
      <c r="M75" s="30"/>
      <c r="N75" s="27" t="s">
        <v>27</v>
      </c>
      <c r="O75" s="27" t="s">
        <v>1123</v>
      </c>
    </row>
    <row r="76" spans="1:15" outlineLevel="1">
      <c r="A76" s="27" t="s">
        <v>111</v>
      </c>
      <c r="B76" s="27">
        <v>1</v>
      </c>
      <c r="C76" s="27" t="s">
        <v>112</v>
      </c>
      <c r="D76" s="27" t="s">
        <v>113</v>
      </c>
      <c r="E76" s="26" t="s">
        <v>124</v>
      </c>
      <c r="F76" s="26" t="s">
        <v>125</v>
      </c>
      <c r="G76" s="26" t="s">
        <v>35</v>
      </c>
      <c r="H76" s="26" t="s">
        <v>126</v>
      </c>
      <c r="I76" s="26" t="s">
        <v>35</v>
      </c>
      <c r="J76" s="26" t="s">
        <v>38</v>
      </c>
      <c r="K76" s="33">
        <v>43475</v>
      </c>
      <c r="L76" s="30" t="s">
        <v>1122</v>
      </c>
      <c r="M76" s="30"/>
      <c r="N76" s="27" t="s">
        <v>27</v>
      </c>
      <c r="O76" s="27" t="s">
        <v>1123</v>
      </c>
    </row>
    <row r="77" spans="1:15">
      <c r="A77" s="168" t="s">
        <v>127</v>
      </c>
      <c r="B77" s="72">
        <v>5</v>
      </c>
      <c r="C77" s="72" t="s">
        <v>35</v>
      </c>
      <c r="D77" s="72" t="s">
        <v>35</v>
      </c>
      <c r="E77" s="166" t="s">
        <v>15</v>
      </c>
      <c r="F77" s="166" t="s">
        <v>14</v>
      </c>
      <c r="G77" s="166" t="s">
        <v>15</v>
      </c>
      <c r="H77" s="166" t="s">
        <v>15</v>
      </c>
      <c r="I77" s="166" t="s">
        <v>15</v>
      </c>
      <c r="J77" s="166"/>
      <c r="K77" s="167">
        <v>43475</v>
      </c>
      <c r="L77" s="170" t="s">
        <v>15</v>
      </c>
      <c r="M77" s="170"/>
      <c r="N77" s="72" t="s">
        <v>27</v>
      </c>
      <c r="O77" s="72"/>
    </row>
    <row r="78" spans="1:15" outlineLevel="1">
      <c r="A78" s="27" t="s">
        <v>947</v>
      </c>
      <c r="B78" s="27">
        <v>1</v>
      </c>
      <c r="C78" s="27" t="s">
        <v>948</v>
      </c>
      <c r="D78" s="27" t="s">
        <v>949</v>
      </c>
      <c r="E78" s="26">
        <v>181750560</v>
      </c>
      <c r="F78" s="26" t="s">
        <v>950</v>
      </c>
      <c r="G78" s="26" t="s">
        <v>35</v>
      </c>
      <c r="H78" s="26" t="s">
        <v>951</v>
      </c>
      <c r="I78" s="26" t="s">
        <v>35</v>
      </c>
      <c r="J78" s="26" t="s">
        <v>25</v>
      </c>
      <c r="K78" s="33">
        <v>43475</v>
      </c>
      <c r="L78" s="30" t="s">
        <v>325</v>
      </c>
      <c r="M78" s="30"/>
      <c r="N78" s="27" t="s">
        <v>27</v>
      </c>
      <c r="O78" s="27"/>
    </row>
    <row r="79" spans="1:15" outlineLevel="1">
      <c r="A79" s="27" t="s">
        <v>947</v>
      </c>
      <c r="B79" s="27">
        <v>1</v>
      </c>
      <c r="C79" s="27" t="s">
        <v>948</v>
      </c>
      <c r="D79" s="27" t="s">
        <v>952</v>
      </c>
      <c r="E79" s="26">
        <v>163750313</v>
      </c>
      <c r="F79" s="26" t="s">
        <v>953</v>
      </c>
      <c r="G79" s="26" t="s">
        <v>35</v>
      </c>
      <c r="H79" s="26" t="s">
        <v>954</v>
      </c>
      <c r="I79" s="26" t="s">
        <v>35</v>
      </c>
      <c r="J79" s="26" t="s">
        <v>25</v>
      </c>
      <c r="K79" s="33">
        <v>43475</v>
      </c>
      <c r="L79" s="30" t="s">
        <v>321</v>
      </c>
      <c r="M79" s="30"/>
      <c r="N79" s="27" t="s">
        <v>27</v>
      </c>
      <c r="O79" s="27"/>
    </row>
    <row r="80" spans="1:15" outlineLevel="1">
      <c r="A80" s="27" t="s">
        <v>947</v>
      </c>
      <c r="B80" s="27">
        <v>1</v>
      </c>
      <c r="C80" s="27" t="s">
        <v>948</v>
      </c>
      <c r="D80" s="27">
        <v>350</v>
      </c>
      <c r="E80" s="26">
        <v>48538</v>
      </c>
      <c r="F80" s="26" t="s">
        <v>955</v>
      </c>
      <c r="G80" s="26" t="s">
        <v>35</v>
      </c>
      <c r="H80" s="26" t="s">
        <v>956</v>
      </c>
      <c r="I80" s="26" t="s">
        <v>35</v>
      </c>
      <c r="J80" s="26" t="s">
        <v>25</v>
      </c>
      <c r="K80" s="33">
        <v>43475</v>
      </c>
      <c r="L80" s="30" t="s">
        <v>957</v>
      </c>
      <c r="M80" s="30"/>
      <c r="N80" s="27" t="s">
        <v>27</v>
      </c>
      <c r="O80" s="27"/>
    </row>
    <row r="81" spans="1:15" outlineLevel="1">
      <c r="A81" s="27" t="s">
        <v>947</v>
      </c>
      <c r="B81" s="27">
        <v>1</v>
      </c>
      <c r="C81" s="27" t="s">
        <v>948</v>
      </c>
      <c r="D81" s="27" t="s">
        <v>952</v>
      </c>
      <c r="E81" s="26">
        <v>170250788</v>
      </c>
      <c r="F81" s="26" t="s">
        <v>958</v>
      </c>
      <c r="G81" s="26">
        <v>500204410597</v>
      </c>
      <c r="H81" s="26" t="s">
        <v>959</v>
      </c>
      <c r="I81" s="26" t="s">
        <v>35</v>
      </c>
      <c r="J81" s="26" t="s">
        <v>25</v>
      </c>
      <c r="K81" s="33">
        <v>43475</v>
      </c>
      <c r="L81" s="30" t="s">
        <v>26</v>
      </c>
      <c r="M81" s="30"/>
      <c r="N81" s="27" t="s">
        <v>27</v>
      </c>
      <c r="O81" s="27"/>
    </row>
    <row r="82" spans="1:15" outlineLevel="1">
      <c r="A82" s="27" t="s">
        <v>947</v>
      </c>
      <c r="B82" s="27">
        <v>1</v>
      </c>
      <c r="C82" s="27" t="s">
        <v>948</v>
      </c>
      <c r="D82" s="27">
        <v>350</v>
      </c>
      <c r="E82" s="26">
        <v>47829</v>
      </c>
      <c r="F82" s="26" t="s">
        <v>960</v>
      </c>
      <c r="G82" s="26" t="s">
        <v>35</v>
      </c>
      <c r="H82" s="26" t="s">
        <v>961</v>
      </c>
      <c r="I82" s="26" t="s">
        <v>35</v>
      </c>
      <c r="J82" s="26" t="s">
        <v>25</v>
      </c>
      <c r="K82" s="33">
        <v>43475</v>
      </c>
      <c r="L82" s="30" t="s">
        <v>93</v>
      </c>
      <c r="M82" s="30"/>
      <c r="N82" s="27" t="s">
        <v>27</v>
      </c>
      <c r="O82" s="27"/>
    </row>
    <row r="83" spans="1:15">
      <c r="A83" s="168" t="s">
        <v>962</v>
      </c>
      <c r="B83" s="72">
        <v>6</v>
      </c>
      <c r="C83" s="72" t="s">
        <v>538</v>
      </c>
      <c r="D83" s="72" t="s">
        <v>963</v>
      </c>
      <c r="E83" s="166" t="s">
        <v>35</v>
      </c>
      <c r="F83" s="166" t="s">
        <v>101</v>
      </c>
      <c r="G83" s="166" t="s">
        <v>964</v>
      </c>
      <c r="H83" s="166" t="s">
        <v>15</v>
      </c>
      <c r="I83" s="166">
        <v>3476750</v>
      </c>
      <c r="J83" s="166" t="s">
        <v>25</v>
      </c>
      <c r="K83" s="167">
        <v>44302</v>
      </c>
      <c r="L83" s="170" t="s">
        <v>26</v>
      </c>
      <c r="M83" s="170"/>
      <c r="N83" s="72" t="s">
        <v>27</v>
      </c>
      <c r="O83" s="72"/>
    </row>
    <row r="84" spans="1:15">
      <c r="A84" s="168" t="s">
        <v>326</v>
      </c>
      <c r="B84" s="72">
        <v>2</v>
      </c>
      <c r="C84" s="72" t="s">
        <v>15</v>
      </c>
      <c r="D84" s="72" t="s">
        <v>15</v>
      </c>
      <c r="E84" s="166" t="s">
        <v>15</v>
      </c>
      <c r="F84" s="166" t="s">
        <v>14</v>
      </c>
      <c r="G84" s="166" t="s">
        <v>15</v>
      </c>
      <c r="H84" s="166" t="s">
        <v>15</v>
      </c>
      <c r="I84" s="166" t="s">
        <v>35</v>
      </c>
      <c r="J84" s="166"/>
      <c r="K84" s="167">
        <v>43475</v>
      </c>
      <c r="L84" s="170" t="s">
        <v>117</v>
      </c>
      <c r="M84" s="170"/>
      <c r="N84" s="72" t="s">
        <v>27</v>
      </c>
      <c r="O84" s="72"/>
    </row>
    <row r="85" spans="1:15" outlineLevel="1">
      <c r="A85" s="27" t="s">
        <v>326</v>
      </c>
      <c r="B85" s="27">
        <v>1</v>
      </c>
      <c r="C85" s="27" t="s">
        <v>809</v>
      </c>
      <c r="D85" s="27">
        <v>985</v>
      </c>
      <c r="E85" s="26">
        <v>1609994506</v>
      </c>
      <c r="F85" s="26" t="s">
        <v>810</v>
      </c>
      <c r="G85" s="26">
        <v>500204420495</v>
      </c>
      <c r="H85" s="26" t="s">
        <v>811</v>
      </c>
      <c r="I85" s="26" t="s">
        <v>35</v>
      </c>
      <c r="J85" s="26" t="s">
        <v>38</v>
      </c>
      <c r="K85" s="33">
        <v>43475</v>
      </c>
      <c r="L85" s="30" t="s">
        <v>117</v>
      </c>
      <c r="M85" s="30"/>
      <c r="N85" s="27" t="s">
        <v>27</v>
      </c>
      <c r="O85" s="27"/>
    </row>
    <row r="86" spans="1:15" outlineLevel="1">
      <c r="A86" s="27" t="s">
        <v>326</v>
      </c>
      <c r="B86" s="27">
        <v>1</v>
      </c>
      <c r="C86" s="27" t="s">
        <v>327</v>
      </c>
      <c r="D86" s="27" t="s">
        <v>328</v>
      </c>
      <c r="E86" s="26" t="s">
        <v>329</v>
      </c>
      <c r="F86" s="26" t="s">
        <v>331</v>
      </c>
      <c r="G86" s="26" t="s">
        <v>330</v>
      </c>
      <c r="H86" s="26" t="s">
        <v>332</v>
      </c>
      <c r="I86" s="26" t="s">
        <v>35</v>
      </c>
      <c r="J86" s="26" t="s">
        <v>38</v>
      </c>
      <c r="K86" s="33"/>
      <c r="L86" s="30" t="s">
        <v>1124</v>
      </c>
      <c r="M86" s="30"/>
      <c r="N86" s="27" t="s">
        <v>27</v>
      </c>
      <c r="O86" s="27"/>
    </row>
    <row r="87" spans="1:15">
      <c r="A87" s="168" t="s">
        <v>333</v>
      </c>
      <c r="B87" s="72">
        <v>5</v>
      </c>
      <c r="C87" s="72" t="s">
        <v>334</v>
      </c>
      <c r="D87" s="72" t="s">
        <v>335</v>
      </c>
      <c r="E87" s="166" t="s">
        <v>15</v>
      </c>
      <c r="F87" s="166" t="s">
        <v>14</v>
      </c>
      <c r="G87" s="166" t="s">
        <v>336</v>
      </c>
      <c r="H87" s="166" t="s">
        <v>15</v>
      </c>
      <c r="I87" s="166"/>
      <c r="J87" s="166"/>
      <c r="K87" s="167">
        <v>44884</v>
      </c>
      <c r="L87" s="170" t="s">
        <v>26</v>
      </c>
      <c r="M87" s="170"/>
      <c r="N87" s="72" t="s">
        <v>27</v>
      </c>
      <c r="O87" s="72"/>
    </row>
    <row r="88" spans="1:15" outlineLevel="1">
      <c r="A88" s="27" t="s">
        <v>966</v>
      </c>
      <c r="B88" s="27">
        <v>1</v>
      </c>
      <c r="C88" s="27" t="s">
        <v>334</v>
      </c>
      <c r="D88" s="27" t="s">
        <v>335</v>
      </c>
      <c r="E88" s="26" t="s">
        <v>967</v>
      </c>
      <c r="F88" s="26" t="s">
        <v>968</v>
      </c>
      <c r="G88" s="26" t="s">
        <v>336</v>
      </c>
      <c r="H88" s="26" t="s">
        <v>969</v>
      </c>
      <c r="I88" s="26"/>
      <c r="J88" s="26" t="s">
        <v>38</v>
      </c>
      <c r="K88" s="33">
        <v>44884</v>
      </c>
      <c r="L88" s="30" t="s">
        <v>26</v>
      </c>
      <c r="M88" s="30"/>
      <c r="N88" s="27" t="s">
        <v>27</v>
      </c>
      <c r="O88" s="27"/>
    </row>
    <row r="89" spans="1:15" outlineLevel="1">
      <c r="A89" s="27" t="s">
        <v>966</v>
      </c>
      <c r="B89" s="27">
        <v>1</v>
      </c>
      <c r="C89" s="27" t="s">
        <v>334</v>
      </c>
      <c r="D89" s="27" t="s">
        <v>335</v>
      </c>
      <c r="E89" s="26" t="s">
        <v>970</v>
      </c>
      <c r="F89" s="26" t="s">
        <v>971</v>
      </c>
      <c r="G89" s="26" t="s">
        <v>336</v>
      </c>
      <c r="H89" s="26" t="s">
        <v>972</v>
      </c>
      <c r="I89" s="26"/>
      <c r="J89" s="26" t="s">
        <v>38</v>
      </c>
      <c r="K89" s="33">
        <v>44884</v>
      </c>
      <c r="L89" s="30" t="s">
        <v>26</v>
      </c>
      <c r="M89" s="30"/>
      <c r="N89" s="27" t="s">
        <v>27</v>
      </c>
      <c r="O89" s="27"/>
    </row>
    <row r="90" spans="1:15" outlineLevel="1">
      <c r="A90" s="27" t="s">
        <v>966</v>
      </c>
      <c r="B90" s="27">
        <v>1</v>
      </c>
      <c r="C90" s="27" t="s">
        <v>334</v>
      </c>
      <c r="D90" s="27" t="s">
        <v>335</v>
      </c>
      <c r="E90" s="26" t="s">
        <v>973</v>
      </c>
      <c r="F90" s="26" t="s">
        <v>974</v>
      </c>
      <c r="G90" s="26" t="s">
        <v>336</v>
      </c>
      <c r="H90" s="26" t="s">
        <v>975</v>
      </c>
      <c r="I90" s="26"/>
      <c r="J90" s="26" t="s">
        <v>38</v>
      </c>
      <c r="K90" s="33">
        <v>44884</v>
      </c>
      <c r="L90" s="30" t="s">
        <v>1120</v>
      </c>
      <c r="M90" s="30"/>
      <c r="N90" s="27" t="s">
        <v>27</v>
      </c>
      <c r="O90" s="27"/>
    </row>
    <row r="91" spans="1:15" outlineLevel="1">
      <c r="A91" s="27" t="s">
        <v>966</v>
      </c>
      <c r="B91" s="27">
        <v>1</v>
      </c>
      <c r="C91" s="27" t="s">
        <v>334</v>
      </c>
      <c r="D91" s="27" t="s">
        <v>335</v>
      </c>
      <c r="E91" s="26" t="s">
        <v>976</v>
      </c>
      <c r="F91" s="26" t="s">
        <v>977</v>
      </c>
      <c r="G91" s="26" t="s">
        <v>336</v>
      </c>
      <c r="H91" s="26" t="s">
        <v>978</v>
      </c>
      <c r="I91" s="26"/>
      <c r="J91" s="26" t="s">
        <v>38</v>
      </c>
      <c r="K91" s="33">
        <v>44884</v>
      </c>
      <c r="L91" s="30" t="s">
        <v>26</v>
      </c>
      <c r="M91" s="30"/>
      <c r="N91" s="27" t="s">
        <v>27</v>
      </c>
      <c r="O91" s="27"/>
    </row>
    <row r="92" spans="1:15" outlineLevel="1">
      <c r="A92" s="27" t="s">
        <v>966</v>
      </c>
      <c r="B92" s="27">
        <v>1</v>
      </c>
      <c r="C92" s="27" t="s">
        <v>334</v>
      </c>
      <c r="D92" s="27" t="s">
        <v>335</v>
      </c>
      <c r="E92" s="26" t="s">
        <v>979</v>
      </c>
      <c r="F92" s="26" t="s">
        <v>980</v>
      </c>
      <c r="G92" s="26" t="s">
        <v>336</v>
      </c>
      <c r="H92" s="26" t="s">
        <v>981</v>
      </c>
      <c r="I92" s="26"/>
      <c r="J92" s="26" t="s">
        <v>38</v>
      </c>
      <c r="K92" s="33">
        <v>44884</v>
      </c>
      <c r="L92" s="30" t="s">
        <v>26</v>
      </c>
      <c r="M92" s="30"/>
      <c r="N92" s="27" t="s">
        <v>27</v>
      </c>
      <c r="O92" s="27"/>
    </row>
    <row r="93" spans="1:15">
      <c r="A93" s="168" t="s">
        <v>982</v>
      </c>
      <c r="B93" s="72">
        <v>1</v>
      </c>
      <c r="C93" s="72" t="s">
        <v>825</v>
      </c>
      <c r="D93" s="72" t="s">
        <v>983</v>
      </c>
      <c r="E93" s="166" t="s">
        <v>15</v>
      </c>
      <c r="F93" s="166" t="s">
        <v>14</v>
      </c>
      <c r="G93" s="166">
        <v>500204400641</v>
      </c>
      <c r="H93" s="166" t="s">
        <v>985</v>
      </c>
      <c r="I93" s="166" t="s">
        <v>35</v>
      </c>
      <c r="J93" s="166" t="s">
        <v>25</v>
      </c>
      <c r="K93" s="167">
        <v>43475</v>
      </c>
      <c r="L93" s="170" t="s">
        <v>26</v>
      </c>
      <c r="M93" s="170"/>
      <c r="N93" s="72" t="s">
        <v>27</v>
      </c>
      <c r="O93" s="72"/>
    </row>
    <row r="94" spans="1:15">
      <c r="A94" s="172" t="s">
        <v>649</v>
      </c>
      <c r="B94" s="72">
        <v>1</v>
      </c>
      <c r="C94" s="171" t="s">
        <v>650</v>
      </c>
      <c r="D94" s="72" t="s">
        <v>651</v>
      </c>
      <c r="E94" s="166">
        <v>30220201144</v>
      </c>
      <c r="F94" s="166" t="s">
        <v>653</v>
      </c>
      <c r="G94" s="166"/>
      <c r="H94" s="166"/>
      <c r="I94" s="166">
        <v>3568608</v>
      </c>
      <c r="J94" s="166" t="s">
        <v>25</v>
      </c>
      <c r="K94" s="167">
        <v>44678</v>
      </c>
      <c r="L94" s="170" t="s">
        <v>78</v>
      </c>
      <c r="M94" s="170"/>
      <c r="N94" s="72" t="s">
        <v>27</v>
      </c>
      <c r="O94" s="72"/>
    </row>
    <row r="95" spans="1:15">
      <c r="A95" s="168" t="s">
        <v>711</v>
      </c>
      <c r="B95" s="72">
        <v>1</v>
      </c>
      <c r="C95" s="72" t="s">
        <v>712</v>
      </c>
      <c r="D95" s="72">
        <v>19032</v>
      </c>
      <c r="E95" s="166" t="s">
        <v>713</v>
      </c>
      <c r="F95" s="166">
        <v>0</v>
      </c>
      <c r="G95" s="166">
        <v>500207510409</v>
      </c>
      <c r="H95" s="166" t="s">
        <v>714</v>
      </c>
      <c r="I95" s="166">
        <v>3476748</v>
      </c>
      <c r="J95" s="166" t="s">
        <v>38</v>
      </c>
      <c r="K95" s="167">
        <v>43475</v>
      </c>
      <c r="L95" s="170" t="s">
        <v>433</v>
      </c>
      <c r="M95" s="170"/>
      <c r="N95" s="72" t="s">
        <v>27</v>
      </c>
      <c r="O95" s="72"/>
    </row>
    <row r="96" spans="1:15">
      <c r="A96" s="168" t="s">
        <v>348</v>
      </c>
      <c r="B96" s="72">
        <v>1</v>
      </c>
      <c r="C96" s="72" t="s">
        <v>349</v>
      </c>
      <c r="D96" s="72" t="s">
        <v>350</v>
      </c>
      <c r="E96" s="166" t="s">
        <v>15</v>
      </c>
      <c r="F96" s="166" t="s">
        <v>14</v>
      </c>
      <c r="G96" s="166" t="s">
        <v>15</v>
      </c>
      <c r="H96" s="166" t="s">
        <v>35</v>
      </c>
      <c r="I96" s="166" t="s">
        <v>35</v>
      </c>
      <c r="J96" s="166"/>
      <c r="K96" s="167"/>
      <c r="L96" s="170" t="s">
        <v>102</v>
      </c>
      <c r="M96" s="170"/>
      <c r="N96" s="72" t="s">
        <v>27</v>
      </c>
      <c r="O96" s="72"/>
    </row>
    <row r="97" spans="1:15" outlineLevel="1">
      <c r="A97" s="27" t="s">
        <v>348</v>
      </c>
      <c r="B97" s="27">
        <v>1</v>
      </c>
      <c r="C97" s="27" t="s">
        <v>349</v>
      </c>
      <c r="D97" s="27" t="s">
        <v>350</v>
      </c>
      <c r="E97" s="26"/>
      <c r="F97" s="26" t="e">
        <f>#N/A</f>
        <v>#N/A</v>
      </c>
      <c r="G97" s="26" t="s">
        <v>351</v>
      </c>
      <c r="H97" s="26" t="s">
        <v>432</v>
      </c>
      <c r="I97" s="26" t="s">
        <v>35</v>
      </c>
      <c r="J97" s="26" t="s">
        <v>38</v>
      </c>
      <c r="K97" s="33">
        <v>44670</v>
      </c>
      <c r="L97" s="30" t="s">
        <v>102</v>
      </c>
      <c r="M97" s="30"/>
      <c r="N97" s="27" t="s">
        <v>27</v>
      </c>
      <c r="O97" s="27"/>
    </row>
    <row r="98" spans="1:15" outlineLevel="1">
      <c r="A98" s="27" t="s">
        <v>348</v>
      </c>
      <c r="B98" s="27">
        <v>1</v>
      </c>
      <c r="C98" s="27" t="s">
        <v>349</v>
      </c>
      <c r="D98" s="27" t="s">
        <v>350</v>
      </c>
      <c r="E98" s="26"/>
      <c r="F98" s="26" t="e">
        <f>#N/A</f>
        <v>#N/A</v>
      </c>
      <c r="G98" s="26" t="s">
        <v>351</v>
      </c>
      <c r="H98" s="26" t="s">
        <v>427</v>
      </c>
      <c r="I98" s="26" t="s">
        <v>35</v>
      </c>
      <c r="J98" s="26" t="s">
        <v>38</v>
      </c>
      <c r="K98" s="33">
        <v>44670</v>
      </c>
      <c r="L98" s="30" t="s">
        <v>428</v>
      </c>
      <c r="M98" s="30"/>
      <c r="N98" s="27" t="s">
        <v>27</v>
      </c>
      <c r="O98" s="27"/>
    </row>
    <row r="99" spans="1:15" outlineLevel="1">
      <c r="A99" s="27" t="s">
        <v>348</v>
      </c>
      <c r="B99" s="27">
        <v>1</v>
      </c>
      <c r="C99" s="27" t="s">
        <v>349</v>
      </c>
      <c r="D99" s="27" t="s">
        <v>350</v>
      </c>
      <c r="E99" s="26"/>
      <c r="F99" s="26" t="e">
        <f>#N/A</f>
        <v>#N/A</v>
      </c>
      <c r="G99" s="26" t="s">
        <v>351</v>
      </c>
      <c r="H99" s="26" t="s">
        <v>430</v>
      </c>
      <c r="I99" s="26" t="s">
        <v>35</v>
      </c>
      <c r="J99" s="26" t="s">
        <v>38</v>
      </c>
      <c r="K99" s="33">
        <v>44670</v>
      </c>
      <c r="L99" s="30" t="s">
        <v>428</v>
      </c>
      <c r="M99" s="30"/>
      <c r="N99" s="27" t="s">
        <v>27</v>
      </c>
      <c r="O99" s="27"/>
    </row>
    <row r="100" spans="1:15" outlineLevel="1">
      <c r="A100" s="27" t="s">
        <v>348</v>
      </c>
      <c r="B100" s="27">
        <v>1</v>
      </c>
      <c r="C100" s="27" t="s">
        <v>349</v>
      </c>
      <c r="D100" s="27" t="s">
        <v>350</v>
      </c>
      <c r="E100" s="26"/>
      <c r="F100" s="26" t="e">
        <f>#N/A</f>
        <v>#N/A</v>
      </c>
      <c r="G100" s="26"/>
      <c r="H100" s="26" t="s">
        <v>425</v>
      </c>
      <c r="I100" s="26" t="s">
        <v>35</v>
      </c>
      <c r="J100" s="26" t="s">
        <v>38</v>
      </c>
      <c r="K100" s="33">
        <v>44670</v>
      </c>
      <c r="L100" s="30" t="s">
        <v>433</v>
      </c>
      <c r="M100" s="30"/>
      <c r="N100" s="27" t="s">
        <v>27</v>
      </c>
      <c r="O100" s="27"/>
    </row>
    <row r="101" spans="1:15">
      <c r="A101" s="172" t="s">
        <v>434</v>
      </c>
      <c r="B101" s="72">
        <v>1</v>
      </c>
      <c r="C101" s="72" t="s">
        <v>252</v>
      </c>
      <c r="D101" s="72" t="s">
        <v>435</v>
      </c>
      <c r="E101" s="166">
        <v>6217202500006</v>
      </c>
      <c r="F101" s="166" t="s">
        <v>437</v>
      </c>
      <c r="G101" s="166" t="s">
        <v>436</v>
      </c>
      <c r="H101" s="166" t="s">
        <v>438</v>
      </c>
      <c r="I101" s="166" t="s">
        <v>15</v>
      </c>
      <c r="J101" s="166" t="s">
        <v>38</v>
      </c>
      <c r="K101" s="167">
        <v>44672</v>
      </c>
      <c r="L101" s="170" t="s">
        <v>439</v>
      </c>
      <c r="M101" s="170"/>
      <c r="N101" s="72" t="s">
        <v>27</v>
      </c>
      <c r="O101" s="72"/>
    </row>
    <row r="102" spans="1:15">
      <c r="A102" s="168" t="s">
        <v>715</v>
      </c>
      <c r="B102" s="72">
        <v>1</v>
      </c>
      <c r="C102" s="72" t="s">
        <v>716</v>
      </c>
      <c r="D102" s="72" t="s">
        <v>717</v>
      </c>
      <c r="E102" s="166">
        <v>1327220</v>
      </c>
      <c r="F102" s="166" t="s">
        <v>719</v>
      </c>
      <c r="G102" s="166" t="s">
        <v>718</v>
      </c>
      <c r="H102" s="166" t="s">
        <v>720</v>
      </c>
      <c r="I102" s="166">
        <v>3472057</v>
      </c>
      <c r="J102" s="166" t="s">
        <v>38</v>
      </c>
      <c r="K102" s="167">
        <v>43927</v>
      </c>
      <c r="L102" s="170" t="s">
        <v>433</v>
      </c>
      <c r="M102" s="170"/>
      <c r="N102" s="72" t="s">
        <v>27</v>
      </c>
      <c r="O102" s="72"/>
    </row>
    <row r="103" spans="1:15">
      <c r="A103" s="173" t="s">
        <v>654</v>
      </c>
      <c r="B103" s="72">
        <v>1</v>
      </c>
      <c r="C103" s="72" t="s">
        <v>131</v>
      </c>
      <c r="D103" s="72" t="s">
        <v>1125</v>
      </c>
      <c r="E103" s="166" t="s">
        <v>35</v>
      </c>
      <c r="F103" s="166" t="s">
        <v>656</v>
      </c>
      <c r="G103" s="174" t="s">
        <v>655</v>
      </c>
      <c r="H103" s="166" t="s">
        <v>657</v>
      </c>
      <c r="I103" s="166">
        <v>3573192</v>
      </c>
      <c r="J103" s="166" t="s">
        <v>38</v>
      </c>
      <c r="K103" s="175">
        <v>44537</v>
      </c>
      <c r="L103" s="170" t="s">
        <v>26</v>
      </c>
      <c r="M103" s="170"/>
      <c r="N103" s="72" t="s">
        <v>27</v>
      </c>
      <c r="O103" s="72"/>
    </row>
    <row r="104" spans="1:15">
      <c r="A104" s="173" t="s">
        <v>654</v>
      </c>
      <c r="B104" s="176">
        <v>1</v>
      </c>
      <c r="C104" s="72" t="s">
        <v>131</v>
      </c>
      <c r="D104" s="72" t="s">
        <v>353</v>
      </c>
      <c r="E104" s="166" t="s">
        <v>35</v>
      </c>
      <c r="F104" s="166" t="s">
        <v>660</v>
      </c>
      <c r="G104" s="177" t="s">
        <v>659</v>
      </c>
      <c r="H104" s="178"/>
      <c r="I104" s="166"/>
      <c r="J104" s="166" t="s">
        <v>38</v>
      </c>
      <c r="K104" s="175">
        <v>45208</v>
      </c>
      <c r="L104" s="170" t="s">
        <v>102</v>
      </c>
      <c r="M104" s="170"/>
      <c r="N104" s="72" t="s">
        <v>27</v>
      </c>
      <c r="O104" s="72"/>
    </row>
    <row r="105" spans="1:15">
      <c r="A105" s="179" t="s">
        <v>662</v>
      </c>
      <c r="B105" s="176">
        <v>1</v>
      </c>
      <c r="C105" s="176" t="s">
        <v>131</v>
      </c>
      <c r="D105" s="72" t="s">
        <v>1125</v>
      </c>
      <c r="E105" s="180" t="s">
        <v>35</v>
      </c>
      <c r="F105" s="180" t="s">
        <v>664</v>
      </c>
      <c r="G105" s="177" t="s">
        <v>663</v>
      </c>
      <c r="H105" s="178"/>
      <c r="I105" s="166">
        <v>3573191</v>
      </c>
      <c r="J105" s="166" t="s">
        <v>38</v>
      </c>
      <c r="K105" s="175">
        <v>44537</v>
      </c>
      <c r="L105" s="170" t="s">
        <v>102</v>
      </c>
      <c r="M105" s="170"/>
      <c r="N105" s="72" t="s">
        <v>27</v>
      </c>
      <c r="O105" s="72"/>
    </row>
    <row r="106" spans="1:15">
      <c r="A106" s="179" t="s">
        <v>662</v>
      </c>
      <c r="B106" s="176">
        <v>1</v>
      </c>
      <c r="C106" s="176" t="s">
        <v>131</v>
      </c>
      <c r="D106" s="72" t="s">
        <v>353</v>
      </c>
      <c r="E106" s="180"/>
      <c r="F106" s="180" t="s">
        <v>667</v>
      </c>
      <c r="G106" s="177" t="s">
        <v>666</v>
      </c>
      <c r="H106" s="178"/>
      <c r="I106" s="166"/>
      <c r="J106" s="166" t="s">
        <v>38</v>
      </c>
      <c r="K106" s="175">
        <v>45208</v>
      </c>
      <c r="L106" s="170" t="s">
        <v>102</v>
      </c>
      <c r="M106" s="170"/>
      <c r="N106" s="72" t="s">
        <v>27</v>
      </c>
      <c r="O106" s="72"/>
    </row>
    <row r="107" spans="1:15">
      <c r="A107" s="173" t="s">
        <v>668</v>
      </c>
      <c r="B107" s="72">
        <v>1</v>
      </c>
      <c r="C107" s="72" t="s">
        <v>131</v>
      </c>
      <c r="D107" s="72" t="s">
        <v>1125</v>
      </c>
      <c r="E107" s="166" t="s">
        <v>35</v>
      </c>
      <c r="F107" s="166" t="s">
        <v>670</v>
      </c>
      <c r="G107" s="174" t="s">
        <v>669</v>
      </c>
      <c r="H107" s="52"/>
      <c r="I107" s="166">
        <v>3573190</v>
      </c>
      <c r="J107" s="166" t="s">
        <v>38</v>
      </c>
      <c r="K107" s="175">
        <v>44537</v>
      </c>
      <c r="L107" s="170" t="s">
        <v>26</v>
      </c>
      <c r="M107" s="170"/>
      <c r="N107" s="72" t="s">
        <v>27</v>
      </c>
      <c r="O107" s="72"/>
    </row>
    <row r="108" spans="1:15">
      <c r="A108" s="173" t="s">
        <v>668</v>
      </c>
      <c r="B108" s="72">
        <v>1</v>
      </c>
      <c r="C108" s="72" t="s">
        <v>131</v>
      </c>
      <c r="D108" s="72" t="s">
        <v>353</v>
      </c>
      <c r="E108" s="166" t="s">
        <v>35</v>
      </c>
      <c r="F108" s="166" t="s">
        <v>677</v>
      </c>
      <c r="G108" s="174" t="s">
        <v>676</v>
      </c>
      <c r="H108" s="52"/>
      <c r="I108" s="166"/>
      <c r="J108" s="166" t="s">
        <v>38</v>
      </c>
      <c r="K108" s="175">
        <v>45208</v>
      </c>
      <c r="L108" s="170" t="s">
        <v>102</v>
      </c>
      <c r="M108" s="170"/>
      <c r="N108" s="72" t="s">
        <v>27</v>
      </c>
      <c r="O108" s="72"/>
    </row>
    <row r="109" spans="1:15">
      <c r="A109" s="168" t="s">
        <v>678</v>
      </c>
      <c r="B109" s="72">
        <v>4</v>
      </c>
      <c r="C109" s="72" t="s">
        <v>35</v>
      </c>
      <c r="D109" s="72" t="s">
        <v>35</v>
      </c>
      <c r="E109" s="166" t="s">
        <v>35</v>
      </c>
      <c r="F109" s="166" t="s">
        <v>101</v>
      </c>
      <c r="G109" s="166" t="s">
        <v>35</v>
      </c>
      <c r="H109" s="166" t="s">
        <v>35</v>
      </c>
      <c r="I109" s="166" t="s">
        <v>35</v>
      </c>
      <c r="J109" s="166" t="s">
        <v>25</v>
      </c>
      <c r="K109" s="167">
        <v>43475</v>
      </c>
      <c r="L109" s="170" t="s">
        <v>680</v>
      </c>
      <c r="M109" s="170"/>
      <c r="N109" s="72" t="s">
        <v>27</v>
      </c>
      <c r="O109" s="72"/>
    </row>
    <row r="110" spans="1:15">
      <c r="A110" s="168" t="s">
        <v>1126</v>
      </c>
      <c r="B110" s="72">
        <v>2</v>
      </c>
      <c r="C110" s="72" t="s">
        <v>1127</v>
      </c>
      <c r="D110" s="72" t="s">
        <v>1128</v>
      </c>
      <c r="E110" s="166" t="s">
        <v>35</v>
      </c>
      <c r="F110" s="52"/>
      <c r="G110" s="166" t="s">
        <v>1129</v>
      </c>
      <c r="H110" s="166" t="s">
        <v>35</v>
      </c>
      <c r="I110" s="166" t="s">
        <v>35</v>
      </c>
      <c r="J110" s="166" t="s">
        <v>25</v>
      </c>
      <c r="K110" s="167">
        <v>45538</v>
      </c>
      <c r="L110" s="170" t="s">
        <v>1130</v>
      </c>
      <c r="M110" s="170"/>
      <c r="N110" s="72" t="s">
        <v>27</v>
      </c>
      <c r="O110" s="72"/>
    </row>
    <row r="111" spans="1:15">
      <c r="A111" s="168" t="s">
        <v>128</v>
      </c>
      <c r="B111" s="72">
        <v>4</v>
      </c>
      <c r="C111" s="72" t="s">
        <v>129</v>
      </c>
      <c r="D111" s="72">
        <v>333</v>
      </c>
      <c r="E111" s="166" t="s">
        <v>15</v>
      </c>
      <c r="F111" s="166" t="s">
        <v>14</v>
      </c>
      <c r="G111" s="166" t="s">
        <v>15</v>
      </c>
      <c r="H111" s="166" t="s">
        <v>35</v>
      </c>
      <c r="I111" s="166" t="s">
        <v>15</v>
      </c>
      <c r="J111" s="166" t="s">
        <v>25</v>
      </c>
      <c r="K111" s="167">
        <v>43475</v>
      </c>
      <c r="L111" s="170" t="s">
        <v>15</v>
      </c>
      <c r="M111" s="170"/>
      <c r="N111" s="72" t="s">
        <v>27</v>
      </c>
      <c r="O111" s="72"/>
    </row>
    <row r="112" spans="1:15" outlineLevel="1">
      <c r="A112" s="27" t="s">
        <v>1131</v>
      </c>
      <c r="B112" s="27">
        <v>1</v>
      </c>
      <c r="C112" s="27" t="s">
        <v>129</v>
      </c>
      <c r="D112" s="27">
        <v>333</v>
      </c>
      <c r="E112" s="26">
        <v>2074977</v>
      </c>
      <c r="F112" s="26" t="s">
        <v>597</v>
      </c>
      <c r="G112" s="26">
        <v>500204420707</v>
      </c>
      <c r="H112" s="26" t="s">
        <v>598</v>
      </c>
      <c r="I112" s="26" t="s">
        <v>35</v>
      </c>
      <c r="J112" s="26" t="s">
        <v>25</v>
      </c>
      <c r="K112" s="33">
        <v>43475</v>
      </c>
      <c r="L112" s="30" t="s">
        <v>78</v>
      </c>
      <c r="M112" s="30"/>
      <c r="N112" s="27" t="s">
        <v>27</v>
      </c>
      <c r="O112" s="27"/>
    </row>
    <row r="113" spans="1:15" outlineLevel="1">
      <c r="A113" s="27" t="s">
        <v>1131</v>
      </c>
      <c r="B113" s="27">
        <v>1</v>
      </c>
      <c r="C113" s="27" t="s">
        <v>129</v>
      </c>
      <c r="D113" s="27">
        <v>333</v>
      </c>
      <c r="E113" s="26">
        <v>2074976</v>
      </c>
      <c r="F113" s="26" t="s">
        <v>599</v>
      </c>
      <c r="G113" s="26">
        <v>500204420429</v>
      </c>
      <c r="H113" s="26" t="s">
        <v>600</v>
      </c>
      <c r="I113" s="26" t="s">
        <v>35</v>
      </c>
      <c r="J113" s="26" t="s">
        <v>25</v>
      </c>
      <c r="K113" s="33">
        <v>43475</v>
      </c>
      <c r="L113" s="30" t="s">
        <v>78</v>
      </c>
      <c r="M113" s="30"/>
      <c r="N113" s="27" t="s">
        <v>27</v>
      </c>
      <c r="O113" s="27"/>
    </row>
    <row r="114" spans="1:15" outlineLevel="1">
      <c r="A114" s="27" t="s">
        <v>1131</v>
      </c>
      <c r="B114" s="27">
        <v>1</v>
      </c>
      <c r="C114" s="27" t="s">
        <v>129</v>
      </c>
      <c r="D114" s="27">
        <v>333</v>
      </c>
      <c r="E114" s="26">
        <v>2074965</v>
      </c>
      <c r="F114" s="26" t="s">
        <v>601</v>
      </c>
      <c r="G114" s="26" t="s">
        <v>35</v>
      </c>
      <c r="H114" s="26" t="s">
        <v>602</v>
      </c>
      <c r="I114" s="26" t="s">
        <v>35</v>
      </c>
      <c r="J114" s="26" t="s">
        <v>25</v>
      </c>
      <c r="K114" s="33">
        <v>43475</v>
      </c>
      <c r="L114" s="30" t="s">
        <v>603</v>
      </c>
      <c r="M114" s="30"/>
      <c r="N114" s="27" t="s">
        <v>27</v>
      </c>
      <c r="O114" s="27"/>
    </row>
    <row r="115" spans="1:15" outlineLevel="1">
      <c r="A115" s="27" t="s">
        <v>1131</v>
      </c>
      <c r="B115" s="27">
        <v>1</v>
      </c>
      <c r="C115" s="27" t="s">
        <v>129</v>
      </c>
      <c r="D115" s="27">
        <v>333</v>
      </c>
      <c r="E115" s="26">
        <v>2074975</v>
      </c>
      <c r="F115" s="26" t="s">
        <v>604</v>
      </c>
      <c r="G115" s="26">
        <v>500204400654</v>
      </c>
      <c r="H115" s="26" t="s">
        <v>605</v>
      </c>
      <c r="I115" s="26" t="s">
        <v>35</v>
      </c>
      <c r="J115" s="26" t="s">
        <v>25</v>
      </c>
      <c r="K115" s="33">
        <v>43475</v>
      </c>
      <c r="L115" s="30" t="s">
        <v>26</v>
      </c>
      <c r="M115" s="30"/>
      <c r="N115" s="27" t="s">
        <v>27</v>
      </c>
      <c r="O115" s="27"/>
    </row>
    <row r="116" spans="1:15">
      <c r="A116" s="181" t="s">
        <v>610</v>
      </c>
      <c r="B116" s="176">
        <v>100</v>
      </c>
      <c r="C116" s="176" t="s">
        <v>611</v>
      </c>
      <c r="D116" s="176" t="s">
        <v>35</v>
      </c>
      <c r="E116" s="182" t="s">
        <v>15</v>
      </c>
      <c r="F116" s="182" t="s">
        <v>14</v>
      </c>
      <c r="G116" s="180" t="s">
        <v>35</v>
      </c>
      <c r="H116" s="166" t="s">
        <v>35</v>
      </c>
      <c r="I116" s="166" t="s">
        <v>35</v>
      </c>
      <c r="J116" s="166"/>
      <c r="K116" s="167">
        <v>43475</v>
      </c>
      <c r="L116" s="170" t="s">
        <v>596</v>
      </c>
      <c r="M116" s="170"/>
      <c r="N116" s="72" t="s">
        <v>27</v>
      </c>
      <c r="O116" s="72"/>
    </row>
    <row r="117" spans="1:15">
      <c r="A117" s="168" t="s">
        <v>140</v>
      </c>
      <c r="B117" s="72">
        <v>3</v>
      </c>
      <c r="C117" s="72" t="s">
        <v>141</v>
      </c>
      <c r="D117" s="72" t="s">
        <v>142</v>
      </c>
      <c r="E117" s="166" t="s">
        <v>15</v>
      </c>
      <c r="F117" s="166" t="s">
        <v>14</v>
      </c>
      <c r="G117" s="166" t="s">
        <v>143</v>
      </c>
      <c r="H117" s="166" t="s">
        <v>15</v>
      </c>
      <c r="I117" s="166" t="s">
        <v>15</v>
      </c>
      <c r="J117" s="166"/>
      <c r="K117" s="167">
        <v>44777</v>
      </c>
      <c r="L117" s="170" t="s">
        <v>15</v>
      </c>
      <c r="M117" s="170"/>
      <c r="N117" s="72" t="s">
        <v>27</v>
      </c>
      <c r="O117" s="72"/>
    </row>
    <row r="118" spans="1:15" outlineLevel="1">
      <c r="A118" s="27" t="s">
        <v>140</v>
      </c>
      <c r="B118" s="27">
        <v>1</v>
      </c>
      <c r="C118" s="27" t="s">
        <v>141</v>
      </c>
      <c r="D118" s="27" t="s">
        <v>142</v>
      </c>
      <c r="E118" s="26" t="s">
        <v>35</v>
      </c>
      <c r="F118" s="26" t="s">
        <v>101</v>
      </c>
      <c r="G118" s="26" t="s">
        <v>35</v>
      </c>
      <c r="H118" s="26" t="s">
        <v>477</v>
      </c>
      <c r="I118" s="26" t="s">
        <v>35</v>
      </c>
      <c r="J118" s="26" t="s">
        <v>25</v>
      </c>
      <c r="K118" s="33">
        <v>44777</v>
      </c>
      <c r="L118" s="30" t="s">
        <v>1124</v>
      </c>
      <c r="M118" s="30"/>
      <c r="N118" s="27" t="s">
        <v>27</v>
      </c>
      <c r="O118" s="27"/>
    </row>
    <row r="119" spans="1:15" outlineLevel="1">
      <c r="A119" s="27" t="s">
        <v>140</v>
      </c>
      <c r="B119" s="27">
        <v>1</v>
      </c>
      <c r="C119" s="27" t="s">
        <v>141</v>
      </c>
      <c r="D119" s="27" t="s">
        <v>142</v>
      </c>
      <c r="E119" s="26" t="s">
        <v>35</v>
      </c>
      <c r="F119" s="26" t="s">
        <v>101</v>
      </c>
      <c r="G119" s="26" t="s">
        <v>35</v>
      </c>
      <c r="H119" s="26" t="s">
        <v>479</v>
      </c>
      <c r="I119" s="26" t="s">
        <v>35</v>
      </c>
      <c r="J119" s="26" t="s">
        <v>25</v>
      </c>
      <c r="K119" s="33">
        <v>44777</v>
      </c>
      <c r="L119" s="30" t="s">
        <v>1124</v>
      </c>
      <c r="M119" s="30"/>
      <c r="N119" s="27" t="s">
        <v>27</v>
      </c>
      <c r="O119" s="27"/>
    </row>
    <row r="120" spans="1:15" outlineLevel="1">
      <c r="A120" s="27" t="s">
        <v>140</v>
      </c>
      <c r="B120" s="27">
        <v>1</v>
      </c>
      <c r="C120" s="27" t="s">
        <v>141</v>
      </c>
      <c r="D120" s="27" t="s">
        <v>142</v>
      </c>
      <c r="E120" s="26" t="s">
        <v>35</v>
      </c>
      <c r="F120" s="26" t="s">
        <v>101</v>
      </c>
      <c r="G120" s="26" t="s">
        <v>35</v>
      </c>
      <c r="H120" s="26" t="s">
        <v>481</v>
      </c>
      <c r="I120" s="26" t="s">
        <v>35</v>
      </c>
      <c r="J120" s="26" t="s">
        <v>25</v>
      </c>
      <c r="K120" s="33">
        <v>44777</v>
      </c>
      <c r="L120" s="30" t="s">
        <v>90</v>
      </c>
      <c r="M120" s="30"/>
      <c r="N120" s="27" t="s">
        <v>27</v>
      </c>
      <c r="O120" s="27"/>
    </row>
    <row r="121" spans="1:15">
      <c r="A121" s="168" t="s">
        <v>482</v>
      </c>
      <c r="B121" s="72">
        <v>2</v>
      </c>
      <c r="C121" s="72" t="s">
        <v>483</v>
      </c>
      <c r="D121" s="72" t="s">
        <v>484</v>
      </c>
      <c r="E121" s="166" t="s">
        <v>15</v>
      </c>
      <c r="F121" s="166" t="s">
        <v>14</v>
      </c>
      <c r="G121" s="166" t="s">
        <v>485</v>
      </c>
      <c r="H121" s="166"/>
      <c r="I121" s="166" t="s">
        <v>15</v>
      </c>
      <c r="J121" s="166"/>
      <c r="K121" s="167">
        <v>44558</v>
      </c>
      <c r="L121" s="170" t="s">
        <v>15</v>
      </c>
      <c r="M121" s="170"/>
      <c r="N121" s="72" t="s">
        <v>27</v>
      </c>
      <c r="O121" s="72"/>
    </row>
    <row r="122" spans="1:15" outlineLevel="1">
      <c r="A122" s="27" t="s">
        <v>812</v>
      </c>
      <c r="B122" s="27">
        <v>1</v>
      </c>
      <c r="C122" s="106" t="s">
        <v>483</v>
      </c>
      <c r="D122" s="106" t="s">
        <v>484</v>
      </c>
      <c r="E122" s="107" t="s">
        <v>813</v>
      </c>
      <c r="F122" s="107" t="s">
        <v>814</v>
      </c>
      <c r="G122" s="26" t="s">
        <v>485</v>
      </c>
      <c r="H122" s="26" t="s">
        <v>815</v>
      </c>
      <c r="I122" s="26">
        <v>3573194</v>
      </c>
      <c r="J122" s="26" t="s">
        <v>38</v>
      </c>
      <c r="K122" s="33">
        <v>44558</v>
      </c>
      <c r="L122" s="30" t="s">
        <v>102</v>
      </c>
      <c r="M122" s="30"/>
      <c r="N122" s="27" t="s">
        <v>27</v>
      </c>
      <c r="O122" s="27"/>
    </row>
    <row r="123" spans="1:15" outlineLevel="1">
      <c r="A123" s="27" t="s">
        <v>812</v>
      </c>
      <c r="B123" s="27">
        <v>1</v>
      </c>
      <c r="C123" s="106" t="s">
        <v>483</v>
      </c>
      <c r="D123" s="106" t="s">
        <v>484</v>
      </c>
      <c r="E123" s="107" t="s">
        <v>816</v>
      </c>
      <c r="F123" s="107" t="s">
        <v>817</v>
      </c>
      <c r="G123" s="26" t="s">
        <v>485</v>
      </c>
      <c r="H123" s="26" t="s">
        <v>818</v>
      </c>
      <c r="I123" s="26">
        <v>3573193</v>
      </c>
      <c r="J123" s="26" t="s">
        <v>38</v>
      </c>
      <c r="K123" s="33">
        <v>44558</v>
      </c>
      <c r="L123" s="30" t="s">
        <v>102</v>
      </c>
      <c r="M123" s="30"/>
      <c r="N123" s="27" t="s">
        <v>27</v>
      </c>
      <c r="O123" s="27"/>
    </row>
    <row r="124" spans="1:15">
      <c r="A124" s="168" t="s">
        <v>819</v>
      </c>
      <c r="B124" s="72">
        <v>13</v>
      </c>
      <c r="C124" s="72" t="s">
        <v>820</v>
      </c>
      <c r="D124" s="72" t="s">
        <v>821</v>
      </c>
      <c r="E124" s="166" t="s">
        <v>35</v>
      </c>
      <c r="F124" s="166" t="s">
        <v>101</v>
      </c>
      <c r="G124" s="166" t="s">
        <v>822</v>
      </c>
      <c r="H124" s="166" t="s">
        <v>35</v>
      </c>
      <c r="I124" s="166" t="s">
        <v>35</v>
      </c>
      <c r="J124" s="166" t="s">
        <v>38</v>
      </c>
      <c r="K124" s="167">
        <v>44215</v>
      </c>
      <c r="L124" s="170" t="s">
        <v>117</v>
      </c>
      <c r="M124" s="170"/>
      <c r="N124" s="72" t="s">
        <v>1132</v>
      </c>
      <c r="O124" s="72"/>
    </row>
    <row r="125" spans="1:15">
      <c r="A125" s="168" t="s">
        <v>487</v>
      </c>
      <c r="B125" s="72">
        <v>1</v>
      </c>
      <c r="C125" s="72" t="s">
        <v>488</v>
      </c>
      <c r="D125" s="72" t="s">
        <v>489</v>
      </c>
      <c r="E125" s="183" t="s">
        <v>490</v>
      </c>
      <c r="F125" s="183" t="s">
        <v>491</v>
      </c>
      <c r="G125" s="166" t="s">
        <v>35</v>
      </c>
      <c r="H125" s="166" t="s">
        <v>492</v>
      </c>
      <c r="I125" s="166" t="s">
        <v>35</v>
      </c>
      <c r="J125" s="166" t="s">
        <v>38</v>
      </c>
      <c r="K125" s="167">
        <v>43475</v>
      </c>
      <c r="L125" s="170" t="s">
        <v>93</v>
      </c>
      <c r="M125" s="170"/>
      <c r="N125" s="72" t="s">
        <v>27</v>
      </c>
      <c r="O125" s="72"/>
    </row>
    <row r="126" spans="1:15">
      <c r="A126" s="168" t="s">
        <v>824</v>
      </c>
      <c r="B126" s="72">
        <v>1</v>
      </c>
      <c r="C126" s="72" t="s">
        <v>825</v>
      </c>
      <c r="D126" s="72" t="s">
        <v>826</v>
      </c>
      <c r="E126" s="166">
        <v>3136486</v>
      </c>
      <c r="F126" s="166" t="s">
        <v>827</v>
      </c>
      <c r="G126" s="166" t="s">
        <v>35</v>
      </c>
      <c r="H126" s="166" t="s">
        <v>828</v>
      </c>
      <c r="I126" s="166" t="s">
        <v>35</v>
      </c>
      <c r="J126" s="166" t="s">
        <v>38</v>
      </c>
      <c r="K126" s="167">
        <v>43475</v>
      </c>
      <c r="L126" s="166" t="s">
        <v>1120</v>
      </c>
      <c r="M126" s="166"/>
      <c r="N126" s="72" t="s">
        <v>27</v>
      </c>
      <c r="O126" s="72"/>
    </row>
    <row r="127" spans="1:15">
      <c r="A127" s="168" t="s">
        <v>1133</v>
      </c>
      <c r="B127" s="72">
        <v>2</v>
      </c>
      <c r="C127" s="72" t="s">
        <v>145</v>
      </c>
      <c r="D127" s="72">
        <v>445815</v>
      </c>
      <c r="E127" s="166" t="s">
        <v>15</v>
      </c>
      <c r="F127" s="166" t="s">
        <v>14</v>
      </c>
      <c r="G127" s="166" t="s">
        <v>15</v>
      </c>
      <c r="H127" s="166"/>
      <c r="I127" s="166" t="s">
        <v>15</v>
      </c>
      <c r="J127" s="166"/>
      <c r="K127" s="167">
        <v>43475</v>
      </c>
      <c r="L127" s="170" t="s">
        <v>15</v>
      </c>
      <c r="M127" s="170"/>
      <c r="N127" s="72" t="s">
        <v>27</v>
      </c>
      <c r="O127" s="72"/>
    </row>
    <row r="128" spans="1:15" outlineLevel="1">
      <c r="A128" s="27" t="s">
        <v>1134</v>
      </c>
      <c r="B128" s="27">
        <v>1</v>
      </c>
      <c r="C128" s="27" t="s">
        <v>145</v>
      </c>
      <c r="D128" s="27">
        <v>445815</v>
      </c>
      <c r="E128" s="26" t="s">
        <v>359</v>
      </c>
      <c r="F128" s="26" t="s">
        <v>360</v>
      </c>
      <c r="G128" s="26" t="s">
        <v>35</v>
      </c>
      <c r="H128" s="26" t="s">
        <v>361</v>
      </c>
      <c r="I128" s="26" t="s">
        <v>35</v>
      </c>
      <c r="J128" s="26" t="s">
        <v>38</v>
      </c>
      <c r="K128" s="33">
        <v>43475</v>
      </c>
      <c r="L128" s="30" t="s">
        <v>117</v>
      </c>
      <c r="M128" s="30"/>
      <c r="N128" s="27" t="s">
        <v>27</v>
      </c>
      <c r="O128" s="27"/>
    </row>
    <row r="129" spans="1:15" outlineLevel="1">
      <c r="A129" s="27" t="s">
        <v>1134</v>
      </c>
      <c r="B129" s="27">
        <v>1</v>
      </c>
      <c r="C129" s="27" t="s">
        <v>145</v>
      </c>
      <c r="D129" s="27">
        <v>445815</v>
      </c>
      <c r="E129" s="26" t="s">
        <v>362</v>
      </c>
      <c r="F129" s="26" t="s">
        <v>363</v>
      </c>
      <c r="G129" s="26" t="s">
        <v>35</v>
      </c>
      <c r="H129" s="26" t="s">
        <v>364</v>
      </c>
      <c r="I129" s="26" t="s">
        <v>35</v>
      </c>
      <c r="J129" s="26" t="s">
        <v>38</v>
      </c>
      <c r="K129" s="33">
        <v>43475</v>
      </c>
      <c r="L129" s="30" t="s">
        <v>117</v>
      </c>
      <c r="M129" s="30"/>
      <c r="N129" s="27" t="s">
        <v>27</v>
      </c>
      <c r="O129" s="27"/>
    </row>
    <row r="130" spans="1:15">
      <c r="A130" s="172" t="s">
        <v>417</v>
      </c>
      <c r="B130" s="72">
        <v>1</v>
      </c>
      <c r="C130" s="72" t="s">
        <v>418</v>
      </c>
      <c r="D130" s="183" t="s">
        <v>419</v>
      </c>
      <c r="E130" s="169" t="s">
        <v>420</v>
      </c>
      <c r="F130" s="169" t="s">
        <v>421</v>
      </c>
      <c r="G130" s="166" t="s">
        <v>35</v>
      </c>
      <c r="H130" s="166" t="s">
        <v>422</v>
      </c>
      <c r="I130" s="166" t="s">
        <v>35</v>
      </c>
      <c r="J130" s="166" t="s">
        <v>38</v>
      </c>
      <c r="K130" s="167">
        <v>43475</v>
      </c>
      <c r="L130" s="170" t="s">
        <v>423</v>
      </c>
      <c r="M130" s="170"/>
      <c r="N130" s="72" t="s">
        <v>27</v>
      </c>
      <c r="O130" s="72"/>
    </row>
    <row r="131" spans="1:15">
      <c r="A131" s="168" t="s">
        <v>146</v>
      </c>
      <c r="B131" s="72">
        <v>4</v>
      </c>
      <c r="C131" s="72" t="s">
        <v>15</v>
      </c>
      <c r="D131" s="72" t="s">
        <v>15</v>
      </c>
      <c r="E131" s="166" t="s">
        <v>15</v>
      </c>
      <c r="F131" s="166" t="s">
        <v>14</v>
      </c>
      <c r="G131" s="166" t="s">
        <v>15</v>
      </c>
      <c r="H131" s="166" t="s">
        <v>15</v>
      </c>
      <c r="I131" s="166" t="s">
        <v>15</v>
      </c>
      <c r="J131" s="166"/>
      <c r="K131" s="167">
        <v>43475</v>
      </c>
      <c r="L131" s="170" t="s">
        <v>15</v>
      </c>
      <c r="M131" s="170"/>
      <c r="N131" s="72" t="s">
        <v>27</v>
      </c>
      <c r="O131" s="72"/>
    </row>
    <row r="132" spans="1:15" outlineLevel="1">
      <c r="A132" s="27" t="s">
        <v>146</v>
      </c>
      <c r="B132" s="27">
        <v>1</v>
      </c>
      <c r="C132" s="27" t="s">
        <v>147</v>
      </c>
      <c r="D132" s="27" t="s">
        <v>148</v>
      </c>
      <c r="E132" s="26" t="s">
        <v>149</v>
      </c>
      <c r="F132" s="26" t="s">
        <v>150</v>
      </c>
      <c r="G132" s="26"/>
      <c r="H132" s="26"/>
      <c r="I132" s="26"/>
      <c r="J132" s="26" t="s">
        <v>151</v>
      </c>
      <c r="K132" s="33"/>
      <c r="L132" s="30" t="s">
        <v>152</v>
      </c>
      <c r="M132" s="30"/>
      <c r="N132" s="27" t="s">
        <v>27</v>
      </c>
      <c r="O132" s="27"/>
    </row>
    <row r="133" spans="1:15" outlineLevel="1">
      <c r="A133" s="27" t="s">
        <v>146</v>
      </c>
      <c r="B133" s="27">
        <v>1</v>
      </c>
      <c r="C133" s="27" t="s">
        <v>147</v>
      </c>
      <c r="D133" s="27" t="s">
        <v>148</v>
      </c>
      <c r="E133" s="26" t="s">
        <v>153</v>
      </c>
      <c r="F133" s="26" t="s">
        <v>154</v>
      </c>
      <c r="G133" s="26"/>
      <c r="H133" s="26"/>
      <c r="I133" s="26"/>
      <c r="J133" s="26" t="s">
        <v>151</v>
      </c>
      <c r="K133" s="33"/>
      <c r="L133" s="30" t="s">
        <v>152</v>
      </c>
      <c r="M133" s="30"/>
      <c r="N133" s="27" t="s">
        <v>27</v>
      </c>
      <c r="O133" s="27"/>
    </row>
    <row r="134" spans="1:15" outlineLevel="1">
      <c r="A134" s="27" t="s">
        <v>146</v>
      </c>
      <c r="B134" s="27">
        <v>1</v>
      </c>
      <c r="C134" s="27" t="s">
        <v>155</v>
      </c>
      <c r="D134" s="27" t="s">
        <v>156</v>
      </c>
      <c r="E134" s="26" t="s">
        <v>157</v>
      </c>
      <c r="F134" s="26" t="s">
        <v>158</v>
      </c>
      <c r="G134" s="26"/>
      <c r="H134" s="26"/>
      <c r="I134" s="26"/>
      <c r="J134" s="26" t="s">
        <v>151</v>
      </c>
      <c r="K134" s="33"/>
      <c r="L134" s="30" t="s">
        <v>152</v>
      </c>
      <c r="M134" s="30"/>
      <c r="N134" s="27" t="s">
        <v>27</v>
      </c>
      <c r="O134" s="27"/>
    </row>
    <row r="135" spans="1:15" outlineLevel="1">
      <c r="A135" s="27" t="s">
        <v>146</v>
      </c>
      <c r="B135" s="27">
        <v>1</v>
      </c>
      <c r="C135" s="27" t="s">
        <v>155</v>
      </c>
      <c r="D135" s="27" t="s">
        <v>156</v>
      </c>
      <c r="E135" s="26" t="s">
        <v>159</v>
      </c>
      <c r="F135" s="26" t="s">
        <v>160</v>
      </c>
      <c r="G135" s="26"/>
      <c r="H135" s="26"/>
      <c r="I135" s="26"/>
      <c r="J135" s="26" t="s">
        <v>151</v>
      </c>
      <c r="K135" s="33"/>
      <c r="L135" s="30" t="s">
        <v>152</v>
      </c>
      <c r="M135" s="30"/>
      <c r="N135" s="27" t="s">
        <v>27</v>
      </c>
      <c r="O135" s="27"/>
    </row>
    <row r="136" spans="1:15">
      <c r="A136" s="168" t="s">
        <v>161</v>
      </c>
      <c r="B136" s="72">
        <v>3</v>
      </c>
      <c r="C136" s="72" t="s">
        <v>35</v>
      </c>
      <c r="D136" s="72" t="s">
        <v>35</v>
      </c>
      <c r="E136" s="166" t="s">
        <v>15</v>
      </c>
      <c r="F136" s="166" t="s">
        <v>14</v>
      </c>
      <c r="G136" s="166" t="s">
        <v>15</v>
      </c>
      <c r="H136" s="166" t="s">
        <v>15</v>
      </c>
      <c r="I136" s="166" t="s">
        <v>15</v>
      </c>
      <c r="J136" s="166"/>
      <c r="K136" s="167">
        <v>43475</v>
      </c>
      <c r="L136" s="170" t="s">
        <v>15</v>
      </c>
      <c r="M136" s="170"/>
      <c r="N136" s="72" t="s">
        <v>27</v>
      </c>
      <c r="O136" s="72"/>
    </row>
    <row r="137" spans="1:15" outlineLevel="1">
      <c r="A137" s="27" t="s">
        <v>161</v>
      </c>
      <c r="B137" s="27">
        <v>1</v>
      </c>
      <c r="C137" s="27" t="s">
        <v>498</v>
      </c>
      <c r="D137" s="27" t="s">
        <v>499</v>
      </c>
      <c r="E137" s="27" t="s">
        <v>500</v>
      </c>
      <c r="F137" s="27" t="s">
        <v>501</v>
      </c>
      <c r="G137" s="26" t="s">
        <v>35</v>
      </c>
      <c r="H137" s="26" t="s">
        <v>502</v>
      </c>
      <c r="I137" s="26"/>
      <c r="J137" s="26" t="s">
        <v>25</v>
      </c>
      <c r="K137" s="33">
        <v>43475</v>
      </c>
      <c r="L137" s="30" t="s">
        <v>503</v>
      </c>
      <c r="M137" s="30"/>
      <c r="N137" s="27" t="s">
        <v>27</v>
      </c>
      <c r="O137" s="27"/>
    </row>
    <row r="138" spans="1:15" outlineLevel="1">
      <c r="A138" s="27" t="s">
        <v>161</v>
      </c>
      <c r="B138" s="27">
        <v>1</v>
      </c>
      <c r="C138" s="27" t="s">
        <v>256</v>
      </c>
      <c r="D138" s="27" t="s">
        <v>504</v>
      </c>
      <c r="E138" s="26" t="s">
        <v>505</v>
      </c>
      <c r="F138" s="26" t="s">
        <v>506</v>
      </c>
      <c r="G138" s="3" t="s">
        <v>35</v>
      </c>
      <c r="H138" s="26" t="s">
        <v>507</v>
      </c>
      <c r="I138" s="26"/>
      <c r="J138" s="26" t="s">
        <v>25</v>
      </c>
      <c r="K138" s="33">
        <v>43475</v>
      </c>
      <c r="L138" s="30" t="s">
        <v>508</v>
      </c>
      <c r="M138" s="30"/>
      <c r="N138" s="27" t="s">
        <v>27</v>
      </c>
      <c r="O138" s="27"/>
    </row>
    <row r="139" spans="1:15" outlineLevel="1">
      <c r="A139" s="27" t="s">
        <v>161</v>
      </c>
      <c r="B139" s="27">
        <v>1</v>
      </c>
      <c r="C139" s="27" t="s">
        <v>509</v>
      </c>
      <c r="D139" s="27" t="s">
        <v>510</v>
      </c>
      <c r="E139" s="27" t="s">
        <v>511</v>
      </c>
      <c r="F139" s="27" t="s">
        <v>512</v>
      </c>
      <c r="G139" s="26" t="s">
        <v>35</v>
      </c>
      <c r="H139" s="26" t="s">
        <v>513</v>
      </c>
      <c r="I139" s="26"/>
      <c r="J139" s="26" t="s">
        <v>25</v>
      </c>
      <c r="K139" s="33">
        <v>43475</v>
      </c>
      <c r="L139" s="30" t="s">
        <v>102</v>
      </c>
      <c r="M139" s="30"/>
      <c r="N139" s="27" t="s">
        <v>27</v>
      </c>
      <c r="O139" s="27"/>
    </row>
    <row r="140" spans="1:15">
      <c r="A140" s="172" t="s">
        <v>672</v>
      </c>
      <c r="B140" s="72">
        <v>8</v>
      </c>
      <c r="C140" s="171" t="s">
        <v>673</v>
      </c>
      <c r="D140" s="72" t="s">
        <v>1135</v>
      </c>
      <c r="E140" s="166" t="s">
        <v>15</v>
      </c>
      <c r="F140" s="166" t="s">
        <v>14</v>
      </c>
      <c r="G140" s="166" t="s">
        <v>15</v>
      </c>
      <c r="H140" s="166" t="s">
        <v>35</v>
      </c>
      <c r="I140" s="166"/>
      <c r="J140" s="166" t="s">
        <v>38</v>
      </c>
      <c r="K140" s="167"/>
      <c r="L140" s="170" t="s">
        <v>458</v>
      </c>
      <c r="M140" s="170"/>
      <c r="N140" s="72" t="s">
        <v>27</v>
      </c>
      <c r="O140" s="72"/>
    </row>
    <row r="141" spans="1:15">
      <c r="A141" s="168" t="s">
        <v>354</v>
      </c>
      <c r="B141" s="72">
        <v>1</v>
      </c>
      <c r="C141" s="72" t="s">
        <v>355</v>
      </c>
      <c r="D141" s="72" t="s">
        <v>35</v>
      </c>
      <c r="E141" s="166" t="s">
        <v>35</v>
      </c>
      <c r="F141" s="166" t="s">
        <v>101</v>
      </c>
      <c r="G141" s="166">
        <v>500207510396</v>
      </c>
      <c r="H141" s="166" t="s">
        <v>357</v>
      </c>
      <c r="I141" s="166">
        <v>3476761</v>
      </c>
      <c r="J141" s="166" t="s">
        <v>25</v>
      </c>
      <c r="K141" s="167">
        <v>43475</v>
      </c>
      <c r="L141" s="170" t="s">
        <v>102</v>
      </c>
      <c r="M141" s="170"/>
      <c r="N141" s="72" t="s">
        <v>27</v>
      </c>
      <c r="O141" s="72"/>
    </row>
    <row r="142" spans="1:15">
      <c r="A142" s="168" t="s">
        <v>914</v>
      </c>
      <c r="B142" s="72">
        <v>4</v>
      </c>
      <c r="C142" s="72" t="s">
        <v>915</v>
      </c>
      <c r="D142" s="72" t="s">
        <v>916</v>
      </c>
      <c r="E142" s="166" t="s">
        <v>35</v>
      </c>
      <c r="F142" s="166" t="s">
        <v>101</v>
      </c>
      <c r="G142" s="166" t="s">
        <v>35</v>
      </c>
      <c r="H142" s="166" t="s">
        <v>35</v>
      </c>
      <c r="I142" s="166" t="s">
        <v>35</v>
      </c>
      <c r="J142" s="166" t="s">
        <v>25</v>
      </c>
      <c r="K142" s="167">
        <v>43475</v>
      </c>
      <c r="L142" s="170" t="s">
        <v>918</v>
      </c>
      <c r="M142" s="170"/>
      <c r="N142" s="72" t="s">
        <v>27</v>
      </c>
      <c r="O142" s="72"/>
    </row>
    <row r="143" spans="1:15" outlineLevel="1">
      <c r="A143" s="27" t="s">
        <v>914</v>
      </c>
      <c r="B143" s="27">
        <v>1</v>
      </c>
      <c r="C143" s="27" t="s">
        <v>915</v>
      </c>
      <c r="D143" s="27" t="s">
        <v>916</v>
      </c>
      <c r="E143" s="26" t="s">
        <v>35</v>
      </c>
      <c r="F143" s="26" t="s">
        <v>101</v>
      </c>
      <c r="G143" s="26" t="s">
        <v>35</v>
      </c>
      <c r="H143" s="26" t="s">
        <v>35</v>
      </c>
      <c r="I143" s="184" t="s">
        <v>35</v>
      </c>
      <c r="J143" s="26" t="s">
        <v>25</v>
      </c>
      <c r="K143" s="33">
        <v>43475</v>
      </c>
      <c r="L143" s="30" t="s">
        <v>1120</v>
      </c>
      <c r="M143" s="30"/>
      <c r="N143" s="27" t="s">
        <v>27</v>
      </c>
      <c r="O143" s="27"/>
    </row>
    <row r="144" spans="1:15" outlineLevel="1">
      <c r="A144" s="27" t="s">
        <v>914</v>
      </c>
      <c r="B144" s="27">
        <v>1</v>
      </c>
      <c r="C144" s="27" t="s">
        <v>915</v>
      </c>
      <c r="D144" s="27" t="s">
        <v>916</v>
      </c>
      <c r="E144" s="26" t="s">
        <v>35</v>
      </c>
      <c r="F144" s="26" t="s">
        <v>101</v>
      </c>
      <c r="G144" s="26" t="s">
        <v>35</v>
      </c>
      <c r="H144" s="26" t="s">
        <v>35</v>
      </c>
      <c r="I144" s="184" t="s">
        <v>35</v>
      </c>
      <c r="J144" s="26" t="s">
        <v>25</v>
      </c>
      <c r="K144" s="33">
        <v>43475</v>
      </c>
      <c r="L144" s="30" t="s">
        <v>1120</v>
      </c>
      <c r="M144" s="30"/>
      <c r="N144" s="27" t="s">
        <v>27</v>
      </c>
      <c r="O144" s="27"/>
    </row>
    <row r="145" spans="1:15" outlineLevel="1">
      <c r="A145" s="27" t="s">
        <v>914</v>
      </c>
      <c r="B145" s="27">
        <v>1</v>
      </c>
      <c r="C145" s="27" t="s">
        <v>915</v>
      </c>
      <c r="D145" s="27" t="s">
        <v>916</v>
      </c>
      <c r="E145" s="26" t="s">
        <v>35</v>
      </c>
      <c r="F145" s="26" t="s">
        <v>101</v>
      </c>
      <c r="G145" s="26" t="s">
        <v>35</v>
      </c>
      <c r="H145" s="26" t="s">
        <v>35</v>
      </c>
      <c r="I145" s="184" t="s">
        <v>35</v>
      </c>
      <c r="J145" s="26" t="s">
        <v>25</v>
      </c>
      <c r="K145" s="33">
        <v>43475</v>
      </c>
      <c r="L145" s="30" t="s">
        <v>1120</v>
      </c>
      <c r="M145" s="30"/>
      <c r="N145" s="27" t="s">
        <v>27</v>
      </c>
      <c r="O145" s="27"/>
    </row>
    <row r="146" spans="1:15" outlineLevel="1">
      <c r="A146" s="27" t="s">
        <v>914</v>
      </c>
      <c r="B146" s="27">
        <v>1</v>
      </c>
      <c r="C146" s="27" t="s">
        <v>915</v>
      </c>
      <c r="D146" s="27" t="s">
        <v>916</v>
      </c>
      <c r="E146" s="26" t="s">
        <v>35</v>
      </c>
      <c r="F146" s="26" t="s">
        <v>101</v>
      </c>
      <c r="G146" s="26" t="s">
        <v>35</v>
      </c>
      <c r="H146" s="26" t="s">
        <v>35</v>
      </c>
      <c r="I146" s="184" t="s">
        <v>35</v>
      </c>
      <c r="J146" s="26" t="s">
        <v>25</v>
      </c>
      <c r="K146" s="33">
        <v>43475</v>
      </c>
      <c r="L146" s="27" t="s">
        <v>1136</v>
      </c>
      <c r="M146" s="27"/>
      <c r="N146" s="27" t="s">
        <v>27</v>
      </c>
      <c r="O146" s="71"/>
    </row>
    <row r="147" spans="1:15">
      <c r="A147" s="172" t="s">
        <v>521</v>
      </c>
      <c r="B147" s="72">
        <v>2</v>
      </c>
      <c r="C147" s="72" t="s">
        <v>131</v>
      </c>
      <c r="D147" s="72" t="s">
        <v>522</v>
      </c>
      <c r="E147" s="166" t="s">
        <v>15</v>
      </c>
      <c r="F147" s="166" t="s">
        <v>14</v>
      </c>
      <c r="G147" s="166" t="s">
        <v>15</v>
      </c>
      <c r="H147" s="166"/>
      <c r="I147" s="166" t="s">
        <v>15</v>
      </c>
      <c r="J147" s="166"/>
      <c r="K147" s="167">
        <v>44655</v>
      </c>
      <c r="L147" s="170" t="s">
        <v>78</v>
      </c>
      <c r="M147" s="170"/>
      <c r="N147" s="72" t="s">
        <v>27</v>
      </c>
      <c r="O147" s="72"/>
    </row>
    <row r="148" spans="1:15" outlineLevel="1">
      <c r="A148" s="27" t="s">
        <v>521</v>
      </c>
      <c r="B148" s="27">
        <v>1</v>
      </c>
      <c r="C148" s="27" t="s">
        <v>131</v>
      </c>
      <c r="D148" s="27" t="s">
        <v>522</v>
      </c>
      <c r="E148" s="26" t="s">
        <v>523</v>
      </c>
      <c r="F148" s="26" t="s">
        <v>525</v>
      </c>
      <c r="G148" s="26"/>
      <c r="H148" s="26" t="s">
        <v>526</v>
      </c>
      <c r="I148" s="26">
        <v>3573201</v>
      </c>
      <c r="J148" s="26" t="s">
        <v>25</v>
      </c>
      <c r="K148" s="33">
        <v>44655</v>
      </c>
      <c r="L148" s="30" t="s">
        <v>527</v>
      </c>
      <c r="M148" s="30"/>
      <c r="N148" s="27" t="s">
        <v>27</v>
      </c>
      <c r="O148" s="27"/>
    </row>
    <row r="149" spans="1:15" outlineLevel="1">
      <c r="A149" s="27" t="s">
        <v>521</v>
      </c>
      <c r="B149" s="27">
        <v>1</v>
      </c>
      <c r="C149" s="27" t="s">
        <v>131</v>
      </c>
      <c r="D149" s="27" t="s">
        <v>522</v>
      </c>
      <c r="E149" s="26" t="s">
        <v>528</v>
      </c>
      <c r="F149" s="26" t="s">
        <v>529</v>
      </c>
      <c r="G149" s="26"/>
      <c r="H149" s="26" t="s">
        <v>530</v>
      </c>
      <c r="I149" s="26">
        <v>3573202</v>
      </c>
      <c r="J149" s="26" t="s">
        <v>25</v>
      </c>
      <c r="K149" s="33">
        <v>44655</v>
      </c>
      <c r="L149" s="30" t="s">
        <v>531</v>
      </c>
      <c r="M149" s="30"/>
      <c r="N149" s="27" t="s">
        <v>27</v>
      </c>
      <c r="O149" s="27"/>
    </row>
    <row r="150" spans="1:15">
      <c r="A150" s="168" t="s">
        <v>532</v>
      </c>
      <c r="B150" s="72">
        <v>6</v>
      </c>
      <c r="C150" s="72" t="s">
        <v>533</v>
      </c>
      <c r="D150" s="72" t="s">
        <v>534</v>
      </c>
      <c r="E150" s="166" t="s">
        <v>35</v>
      </c>
      <c r="F150" s="166" t="s">
        <v>101</v>
      </c>
      <c r="G150" s="166" t="s">
        <v>535</v>
      </c>
      <c r="H150" s="166" t="s">
        <v>35</v>
      </c>
      <c r="I150" s="166" t="s">
        <v>35</v>
      </c>
      <c r="J150" s="166" t="s">
        <v>25</v>
      </c>
      <c r="K150" s="167">
        <v>43942</v>
      </c>
      <c r="L150" s="170" t="s">
        <v>93</v>
      </c>
      <c r="M150" s="170"/>
      <c r="N150" s="72" t="s">
        <v>27</v>
      </c>
      <c r="O150" s="72"/>
    </row>
    <row r="151" spans="1:15">
      <c r="A151" s="168" t="s">
        <v>446</v>
      </c>
      <c r="B151" s="72">
        <v>8</v>
      </c>
      <c r="C151" s="72" t="s">
        <v>447</v>
      </c>
      <c r="D151" s="72" t="s">
        <v>448</v>
      </c>
      <c r="E151" s="166" t="s">
        <v>15</v>
      </c>
      <c r="F151" s="166" t="s">
        <v>14</v>
      </c>
      <c r="G151" s="166" t="s">
        <v>449</v>
      </c>
      <c r="H151" s="166"/>
      <c r="I151" s="166" t="s">
        <v>15</v>
      </c>
      <c r="J151" s="166"/>
      <c r="K151" s="167">
        <v>44501</v>
      </c>
      <c r="L151" s="170" t="s">
        <v>450</v>
      </c>
      <c r="M151" s="170"/>
      <c r="N151" s="72" t="s">
        <v>27</v>
      </c>
      <c r="O151" s="72"/>
    </row>
    <row r="152" spans="1:15" outlineLevel="1">
      <c r="A152" s="27" t="s">
        <v>446</v>
      </c>
      <c r="B152" s="27">
        <v>1</v>
      </c>
      <c r="C152" s="27" t="s">
        <v>447</v>
      </c>
      <c r="D152" s="27" t="s">
        <v>448</v>
      </c>
      <c r="E152" s="26">
        <v>21141020272</v>
      </c>
      <c r="F152" s="26" t="s">
        <v>456</v>
      </c>
      <c r="G152" s="26" t="s">
        <v>449</v>
      </c>
      <c r="H152" s="26" t="s">
        <v>457</v>
      </c>
      <c r="I152" s="26">
        <v>3573182</v>
      </c>
      <c r="J152" s="26" t="s">
        <v>38</v>
      </c>
      <c r="K152" s="33">
        <v>44501</v>
      </c>
      <c r="L152" s="30" t="s">
        <v>458</v>
      </c>
      <c r="M152" s="30"/>
      <c r="N152" s="27" t="s">
        <v>27</v>
      </c>
      <c r="O152" s="27"/>
    </row>
    <row r="153" spans="1:15" outlineLevel="1">
      <c r="A153" s="27" t="s">
        <v>446</v>
      </c>
      <c r="B153" s="27">
        <v>1</v>
      </c>
      <c r="C153" s="27" t="s">
        <v>447</v>
      </c>
      <c r="D153" s="27" t="s">
        <v>448</v>
      </c>
      <c r="E153" s="26">
        <v>21141020268</v>
      </c>
      <c r="F153" s="26" t="s">
        <v>459</v>
      </c>
      <c r="G153" s="26" t="s">
        <v>449</v>
      </c>
      <c r="H153" s="26" t="s">
        <v>460</v>
      </c>
      <c r="I153" s="26">
        <v>3573183</v>
      </c>
      <c r="J153" s="26" t="s">
        <v>38</v>
      </c>
      <c r="K153" s="33">
        <v>44501</v>
      </c>
      <c r="L153" s="30" t="s">
        <v>458</v>
      </c>
      <c r="M153" s="30"/>
      <c r="N153" s="27" t="s">
        <v>27</v>
      </c>
      <c r="O153" s="27"/>
    </row>
    <row r="154" spans="1:15" outlineLevel="1">
      <c r="A154" s="27" t="s">
        <v>446</v>
      </c>
      <c r="B154" s="27">
        <v>1</v>
      </c>
      <c r="C154" s="27" t="s">
        <v>447</v>
      </c>
      <c r="D154" s="27" t="s">
        <v>448</v>
      </c>
      <c r="E154" s="26">
        <v>21141020275</v>
      </c>
      <c r="F154" s="26" t="s">
        <v>461</v>
      </c>
      <c r="G154" s="26" t="s">
        <v>449</v>
      </c>
      <c r="H154" s="26" t="s">
        <v>462</v>
      </c>
      <c r="I154" s="26">
        <v>3573184</v>
      </c>
      <c r="J154" s="26" t="s">
        <v>38</v>
      </c>
      <c r="K154" s="33">
        <v>44501</v>
      </c>
      <c r="L154" s="30" t="s">
        <v>458</v>
      </c>
      <c r="M154" s="30"/>
      <c r="N154" s="27" t="s">
        <v>27</v>
      </c>
      <c r="O154" s="27"/>
    </row>
    <row r="155" spans="1:15" outlineLevel="1">
      <c r="A155" s="27" t="s">
        <v>446</v>
      </c>
      <c r="B155" s="27">
        <v>1</v>
      </c>
      <c r="C155" s="27" t="s">
        <v>447</v>
      </c>
      <c r="D155" s="27" t="s">
        <v>448</v>
      </c>
      <c r="E155" s="26">
        <v>21032920253</v>
      </c>
      <c r="F155" s="26" t="s">
        <v>463</v>
      </c>
      <c r="G155" s="26" t="s">
        <v>449</v>
      </c>
      <c r="H155" s="26" t="s">
        <v>464</v>
      </c>
      <c r="I155" s="26">
        <v>3573185</v>
      </c>
      <c r="J155" s="26" t="s">
        <v>38</v>
      </c>
      <c r="K155" s="33">
        <v>44501</v>
      </c>
      <c r="L155" s="30" t="s">
        <v>458</v>
      </c>
      <c r="M155" s="30"/>
      <c r="N155" s="27" t="s">
        <v>27</v>
      </c>
      <c r="O155" s="27"/>
    </row>
    <row r="156" spans="1:15" outlineLevel="1">
      <c r="A156" s="27" t="s">
        <v>446</v>
      </c>
      <c r="B156" s="27">
        <v>1</v>
      </c>
      <c r="C156" s="27" t="s">
        <v>447</v>
      </c>
      <c r="D156" s="27" t="s">
        <v>448</v>
      </c>
      <c r="E156" s="26">
        <v>21141020274</v>
      </c>
      <c r="F156" s="26" t="s">
        <v>465</v>
      </c>
      <c r="G156" s="26" t="s">
        <v>449</v>
      </c>
      <c r="H156" s="26" t="s">
        <v>466</v>
      </c>
      <c r="I156" s="26">
        <v>3573186</v>
      </c>
      <c r="J156" s="26" t="s">
        <v>38</v>
      </c>
      <c r="K156" s="33">
        <v>44501</v>
      </c>
      <c r="L156" s="30" t="s">
        <v>458</v>
      </c>
      <c r="M156" s="30"/>
      <c r="N156" s="27" t="s">
        <v>27</v>
      </c>
      <c r="O156" s="27"/>
    </row>
    <row r="157" spans="1:15" outlineLevel="1">
      <c r="A157" s="27" t="s">
        <v>446</v>
      </c>
      <c r="B157" s="27">
        <v>1</v>
      </c>
      <c r="C157" s="27" t="s">
        <v>447</v>
      </c>
      <c r="D157" s="27" t="s">
        <v>448</v>
      </c>
      <c r="E157" s="26">
        <v>21141020267</v>
      </c>
      <c r="F157" s="26" t="s">
        <v>467</v>
      </c>
      <c r="G157" s="26" t="s">
        <v>449</v>
      </c>
      <c r="H157" s="26" t="s">
        <v>468</v>
      </c>
      <c r="I157" s="26">
        <v>3573187</v>
      </c>
      <c r="J157" s="26" t="s">
        <v>38</v>
      </c>
      <c r="K157" s="33">
        <v>44501</v>
      </c>
      <c r="L157" s="30" t="s">
        <v>458</v>
      </c>
      <c r="M157" s="30"/>
      <c r="N157" s="27" t="s">
        <v>27</v>
      </c>
      <c r="O157" s="27"/>
    </row>
    <row r="158" spans="1:15" outlineLevel="1">
      <c r="A158" s="27" t="s">
        <v>446</v>
      </c>
      <c r="B158" s="27">
        <v>1</v>
      </c>
      <c r="C158" s="27" t="s">
        <v>447</v>
      </c>
      <c r="D158" s="27" t="s">
        <v>448</v>
      </c>
      <c r="E158" s="26">
        <v>21141020269</v>
      </c>
      <c r="F158" s="26" t="s">
        <v>469</v>
      </c>
      <c r="G158" s="26" t="s">
        <v>449</v>
      </c>
      <c r="H158" s="26" t="s">
        <v>470</v>
      </c>
      <c r="I158" s="26">
        <v>3573188</v>
      </c>
      <c r="J158" s="26" t="s">
        <v>38</v>
      </c>
      <c r="K158" s="33">
        <v>44501</v>
      </c>
      <c r="L158" s="30" t="s">
        <v>458</v>
      </c>
      <c r="M158" s="30"/>
      <c r="N158" s="27" t="s">
        <v>27</v>
      </c>
      <c r="O158" s="27"/>
    </row>
    <row r="159" spans="1:15" outlineLevel="1">
      <c r="A159" s="27" t="s">
        <v>446</v>
      </c>
      <c r="B159" s="27">
        <v>1</v>
      </c>
      <c r="C159" s="27" t="s">
        <v>447</v>
      </c>
      <c r="D159" s="27" t="s">
        <v>448</v>
      </c>
      <c r="E159" s="26">
        <v>21141020265</v>
      </c>
      <c r="F159" s="26" t="s">
        <v>471</v>
      </c>
      <c r="G159" s="26" t="s">
        <v>449</v>
      </c>
      <c r="H159" s="26" t="s">
        <v>472</v>
      </c>
      <c r="I159" s="26">
        <v>3573189</v>
      </c>
      <c r="J159" s="26" t="s">
        <v>38</v>
      </c>
      <c r="K159" s="33">
        <v>44501</v>
      </c>
      <c r="L159" s="30" t="s">
        <v>458</v>
      </c>
      <c r="M159" s="30"/>
      <c r="N159" s="79" t="s">
        <v>27</v>
      </c>
      <c r="O159" s="27"/>
    </row>
    <row r="160" spans="1:15">
      <c r="A160" s="168" t="s">
        <v>473</v>
      </c>
      <c r="B160" s="72">
        <v>4</v>
      </c>
      <c r="C160" s="72" t="s">
        <v>35</v>
      </c>
      <c r="D160" s="72" t="s">
        <v>35</v>
      </c>
      <c r="E160" s="166" t="s">
        <v>35</v>
      </c>
      <c r="F160" s="166" t="s">
        <v>101</v>
      </c>
      <c r="G160" s="166"/>
      <c r="H160" s="166"/>
      <c r="I160" s="166"/>
      <c r="J160" s="166"/>
      <c r="K160" s="167">
        <v>43475</v>
      </c>
      <c r="L160" s="170" t="s">
        <v>475</v>
      </c>
      <c r="M160" s="170"/>
      <c r="N160" s="72" t="s">
        <v>27</v>
      </c>
      <c r="O160" s="72"/>
    </row>
    <row r="161" spans="1:15">
      <c r="A161" s="168" t="s">
        <v>162</v>
      </c>
      <c r="B161" s="72">
        <v>6</v>
      </c>
      <c r="C161" s="72" t="s">
        <v>163</v>
      </c>
      <c r="D161" s="72" t="s">
        <v>164</v>
      </c>
      <c r="E161" s="166" t="s">
        <v>15</v>
      </c>
      <c r="F161" s="166" t="s">
        <v>14</v>
      </c>
      <c r="G161" s="166" t="s">
        <v>165</v>
      </c>
      <c r="H161" s="166"/>
      <c r="I161" s="166" t="s">
        <v>15</v>
      </c>
      <c r="J161" s="166"/>
      <c r="K161" s="167">
        <v>44000</v>
      </c>
      <c r="L161" s="166" t="s">
        <v>15</v>
      </c>
      <c r="M161" s="166"/>
      <c r="N161" s="72" t="s">
        <v>27</v>
      </c>
      <c r="O161" s="72"/>
    </row>
    <row r="162" spans="1:15" s="121" customFormat="1" outlineLevel="1">
      <c r="A162" s="54" t="s">
        <v>162</v>
      </c>
      <c r="B162" s="54">
        <v>1</v>
      </c>
      <c r="C162" s="54" t="s">
        <v>163</v>
      </c>
      <c r="D162" s="54" t="s">
        <v>164</v>
      </c>
      <c r="E162" s="55">
        <v>181400002325</v>
      </c>
      <c r="F162" s="55" t="s">
        <v>167</v>
      </c>
      <c r="G162" s="55">
        <v>500207510086</v>
      </c>
      <c r="H162" s="55" t="s">
        <v>168</v>
      </c>
      <c r="I162" s="55">
        <v>3471403</v>
      </c>
      <c r="J162" s="55" t="s">
        <v>25</v>
      </c>
      <c r="K162" s="124">
        <v>44000</v>
      </c>
      <c r="L162" s="125" t="s">
        <v>169</v>
      </c>
      <c r="M162" s="125"/>
      <c r="N162" s="54" t="s">
        <v>27</v>
      </c>
      <c r="O162" s="54"/>
    </row>
    <row r="163" spans="1:15" s="121" customFormat="1" outlineLevel="1">
      <c r="A163" s="54" t="s">
        <v>162</v>
      </c>
      <c r="B163" s="54">
        <v>1</v>
      </c>
      <c r="C163" s="54" t="s">
        <v>163</v>
      </c>
      <c r="D163" s="54" t="s">
        <v>164</v>
      </c>
      <c r="E163" s="55">
        <v>181400002281</v>
      </c>
      <c r="F163" s="55" t="s">
        <v>171</v>
      </c>
      <c r="G163" s="55">
        <v>500207510082</v>
      </c>
      <c r="H163" s="55" t="s">
        <v>172</v>
      </c>
      <c r="I163" s="55">
        <v>3471399</v>
      </c>
      <c r="J163" s="55" t="s">
        <v>25</v>
      </c>
      <c r="K163" s="124">
        <v>44000</v>
      </c>
      <c r="L163" s="125" t="s">
        <v>102</v>
      </c>
      <c r="M163" s="125"/>
      <c r="N163" s="54" t="s">
        <v>27</v>
      </c>
      <c r="O163" s="54"/>
    </row>
    <row r="164" spans="1:15" s="121" customFormat="1" outlineLevel="1">
      <c r="A164" s="54" t="s">
        <v>162</v>
      </c>
      <c r="B164" s="54">
        <v>1</v>
      </c>
      <c r="C164" s="54" t="s">
        <v>163</v>
      </c>
      <c r="D164" s="54" t="s">
        <v>164</v>
      </c>
      <c r="E164" s="55">
        <v>181400002280</v>
      </c>
      <c r="F164" s="55" t="s">
        <v>174</v>
      </c>
      <c r="G164" s="55">
        <v>500207510080</v>
      </c>
      <c r="H164" s="55" t="s">
        <v>175</v>
      </c>
      <c r="I164" s="55">
        <v>3471398</v>
      </c>
      <c r="J164" s="55" t="s">
        <v>25</v>
      </c>
      <c r="K164" s="124">
        <v>44000</v>
      </c>
      <c r="L164" s="125" t="s">
        <v>78</v>
      </c>
      <c r="M164" s="125"/>
      <c r="N164" s="54" t="s">
        <v>27</v>
      </c>
      <c r="O164" s="54"/>
    </row>
    <row r="165" spans="1:15" s="121" customFormat="1" outlineLevel="1">
      <c r="A165" s="54" t="s">
        <v>162</v>
      </c>
      <c r="B165" s="54">
        <v>1</v>
      </c>
      <c r="C165" s="54" t="s">
        <v>163</v>
      </c>
      <c r="D165" s="54" t="s">
        <v>164</v>
      </c>
      <c r="E165" s="55">
        <v>181400002286</v>
      </c>
      <c r="F165" s="55" t="s">
        <v>177</v>
      </c>
      <c r="G165" s="55">
        <v>500207510081</v>
      </c>
      <c r="H165" s="55" t="s">
        <v>178</v>
      </c>
      <c r="I165" s="55">
        <v>3471401</v>
      </c>
      <c r="J165" s="55" t="s">
        <v>25</v>
      </c>
      <c r="K165" s="124">
        <v>44000</v>
      </c>
      <c r="L165" s="125" t="s">
        <v>78</v>
      </c>
      <c r="M165" s="125"/>
      <c r="N165" s="54" t="s">
        <v>27</v>
      </c>
      <c r="O165" s="54"/>
    </row>
    <row r="166" spans="1:15" s="121" customFormat="1" outlineLevel="1">
      <c r="A166" s="54" t="s">
        <v>162</v>
      </c>
      <c r="B166" s="54">
        <v>1</v>
      </c>
      <c r="C166" s="54" t="s">
        <v>163</v>
      </c>
      <c r="D166" s="54" t="s">
        <v>164</v>
      </c>
      <c r="E166" s="55">
        <v>181400002287</v>
      </c>
      <c r="F166" s="55" t="s">
        <v>180</v>
      </c>
      <c r="G166" s="55">
        <v>500207510085</v>
      </c>
      <c r="H166" s="55" t="s">
        <v>181</v>
      </c>
      <c r="I166" s="55">
        <v>3471402</v>
      </c>
      <c r="J166" s="55" t="s">
        <v>25</v>
      </c>
      <c r="K166" s="124">
        <v>44000</v>
      </c>
      <c r="L166" s="125" t="s">
        <v>102</v>
      </c>
      <c r="M166" s="125"/>
      <c r="N166" s="54" t="s">
        <v>27</v>
      </c>
      <c r="O166" s="54"/>
    </row>
    <row r="167" spans="1:15" s="121" customFormat="1" outlineLevel="1">
      <c r="A167" s="54" t="s">
        <v>162</v>
      </c>
      <c r="B167" s="54">
        <v>1</v>
      </c>
      <c r="C167" s="54" t="s">
        <v>163</v>
      </c>
      <c r="D167" s="54" t="s">
        <v>164</v>
      </c>
      <c r="E167" s="55">
        <v>181400002284</v>
      </c>
      <c r="F167" s="55" t="s">
        <v>183</v>
      </c>
      <c r="G167" s="55">
        <v>500207510083</v>
      </c>
      <c r="H167" s="55" t="s">
        <v>184</v>
      </c>
      <c r="I167" s="55">
        <v>3471400</v>
      </c>
      <c r="J167" s="55" t="s">
        <v>25</v>
      </c>
      <c r="K167" s="124">
        <v>44000</v>
      </c>
      <c r="L167" s="125" t="s">
        <v>185</v>
      </c>
      <c r="M167" s="125"/>
      <c r="N167" s="54" t="s">
        <v>27</v>
      </c>
      <c r="O167" s="54"/>
    </row>
    <row r="168" spans="1:15">
      <c r="A168" s="168" t="s">
        <v>186</v>
      </c>
      <c r="B168" s="72">
        <v>6</v>
      </c>
      <c r="C168" s="72" t="s">
        <v>187</v>
      </c>
      <c r="D168" s="72" t="s">
        <v>188</v>
      </c>
      <c r="E168" s="166" t="s">
        <v>35</v>
      </c>
      <c r="F168" s="166" t="s">
        <v>101</v>
      </c>
      <c r="G168" s="166" t="s">
        <v>189</v>
      </c>
      <c r="H168" s="166" t="s">
        <v>35</v>
      </c>
      <c r="I168" s="166" t="s">
        <v>15</v>
      </c>
      <c r="J168" s="166" t="s">
        <v>25</v>
      </c>
      <c r="K168" s="167">
        <v>43899</v>
      </c>
      <c r="L168" s="170" t="s">
        <v>15</v>
      </c>
      <c r="M168" s="170"/>
      <c r="N168" s="72" t="s">
        <v>27</v>
      </c>
      <c r="O168" s="72"/>
    </row>
    <row r="169" spans="1:15">
      <c r="A169" s="168" t="s">
        <v>829</v>
      </c>
      <c r="B169" s="72">
        <v>1</v>
      </c>
      <c r="C169" s="72" t="s">
        <v>830</v>
      </c>
      <c r="D169" s="72" t="s">
        <v>831</v>
      </c>
      <c r="E169" s="166">
        <v>17120211</v>
      </c>
      <c r="F169" s="166" t="s">
        <v>832</v>
      </c>
      <c r="G169" s="166" t="s">
        <v>35</v>
      </c>
      <c r="H169" s="166" t="s">
        <v>833</v>
      </c>
      <c r="I169" s="166" t="s">
        <v>35</v>
      </c>
      <c r="J169" s="166" t="s">
        <v>38</v>
      </c>
      <c r="K169" s="167">
        <v>43475</v>
      </c>
      <c r="L169" s="166" t="s">
        <v>1120</v>
      </c>
      <c r="M169" s="166"/>
      <c r="N169" s="72" t="s">
        <v>27</v>
      </c>
      <c r="O169" s="72"/>
    </row>
    <row r="170" spans="1:15">
      <c r="A170" s="168" t="s">
        <v>191</v>
      </c>
      <c r="B170" s="72">
        <v>9</v>
      </c>
      <c r="C170" s="72" t="s">
        <v>15</v>
      </c>
      <c r="D170" s="72" t="s">
        <v>15</v>
      </c>
      <c r="E170" s="166" t="s">
        <v>15</v>
      </c>
      <c r="F170" s="166" t="s">
        <v>14</v>
      </c>
      <c r="G170" s="166" t="s">
        <v>15</v>
      </c>
      <c r="H170" s="166" t="s">
        <v>15</v>
      </c>
      <c r="I170" s="166" t="s">
        <v>15</v>
      </c>
      <c r="J170" s="166"/>
      <c r="K170" s="167" t="s">
        <v>15</v>
      </c>
      <c r="L170" s="170" t="s">
        <v>15</v>
      </c>
      <c r="M170" s="170"/>
      <c r="N170" s="72" t="s">
        <v>1132</v>
      </c>
      <c r="O170" s="72"/>
    </row>
    <row r="171" spans="1:15" outlineLevel="1">
      <c r="A171" s="27" t="s">
        <v>191</v>
      </c>
      <c r="B171" s="27">
        <v>1</v>
      </c>
      <c r="C171" s="27" t="s">
        <v>192</v>
      </c>
      <c r="D171" s="27" t="s">
        <v>193</v>
      </c>
      <c r="E171" s="26" t="s">
        <v>194</v>
      </c>
      <c r="F171" s="26" t="s">
        <v>195</v>
      </c>
      <c r="G171" s="26" t="s">
        <v>35</v>
      </c>
      <c r="H171" s="26" t="s">
        <v>196</v>
      </c>
      <c r="I171" s="26" t="s">
        <v>35</v>
      </c>
      <c r="J171" s="26" t="s">
        <v>38</v>
      </c>
      <c r="K171" s="33">
        <v>43475</v>
      </c>
      <c r="L171" s="26" t="s">
        <v>1120</v>
      </c>
      <c r="M171" s="26"/>
      <c r="N171" s="27" t="s">
        <v>27</v>
      </c>
      <c r="O171" s="27"/>
    </row>
    <row r="172" spans="1:15" outlineLevel="1">
      <c r="A172" s="27" t="s">
        <v>191</v>
      </c>
      <c r="B172" s="27">
        <v>1</v>
      </c>
      <c r="C172" s="27" t="s">
        <v>192</v>
      </c>
      <c r="D172" s="27" t="s">
        <v>193</v>
      </c>
      <c r="E172" s="26" t="s">
        <v>197</v>
      </c>
      <c r="F172" s="26" t="s">
        <v>198</v>
      </c>
      <c r="G172" s="26" t="s">
        <v>35</v>
      </c>
      <c r="H172" s="26" t="s">
        <v>199</v>
      </c>
      <c r="I172" s="26" t="s">
        <v>35</v>
      </c>
      <c r="J172" s="26" t="s">
        <v>38</v>
      </c>
      <c r="K172" s="33">
        <v>43475</v>
      </c>
      <c r="L172" s="26" t="s">
        <v>1120</v>
      </c>
      <c r="M172" s="26"/>
      <c r="N172" s="27" t="s">
        <v>27</v>
      </c>
      <c r="O172" s="27"/>
    </row>
    <row r="173" spans="1:15" outlineLevel="1">
      <c r="A173" s="27" t="s">
        <v>191</v>
      </c>
      <c r="B173" s="27">
        <v>1</v>
      </c>
      <c r="C173" s="27" t="s">
        <v>192</v>
      </c>
      <c r="D173" s="27" t="s">
        <v>193</v>
      </c>
      <c r="E173" s="26" t="s">
        <v>200</v>
      </c>
      <c r="F173" s="26" t="s">
        <v>201</v>
      </c>
      <c r="G173" s="26" t="s">
        <v>35</v>
      </c>
      <c r="H173" s="26" t="s">
        <v>202</v>
      </c>
      <c r="I173" s="26" t="s">
        <v>35</v>
      </c>
      <c r="J173" s="26" t="s">
        <v>38</v>
      </c>
      <c r="K173" s="33">
        <v>43475</v>
      </c>
      <c r="L173" s="26" t="s">
        <v>1120</v>
      </c>
      <c r="M173" s="26"/>
      <c r="N173" s="27" t="s">
        <v>27</v>
      </c>
      <c r="O173" s="27"/>
    </row>
    <row r="174" spans="1:15" outlineLevel="1">
      <c r="A174" s="27" t="s">
        <v>191</v>
      </c>
      <c r="B174" s="27">
        <v>1</v>
      </c>
      <c r="C174" s="27" t="s">
        <v>145</v>
      </c>
      <c r="D174" s="27" t="s">
        <v>208</v>
      </c>
      <c r="E174" s="26" t="s">
        <v>209</v>
      </c>
      <c r="F174" s="26" t="s">
        <v>210</v>
      </c>
      <c r="G174" s="26">
        <v>500207510423</v>
      </c>
      <c r="H174" s="26" t="s">
        <v>211</v>
      </c>
      <c r="I174" s="26" t="s">
        <v>35</v>
      </c>
      <c r="J174" s="26" t="s">
        <v>38</v>
      </c>
      <c r="K174" s="33">
        <v>44661</v>
      </c>
      <c r="L174" s="26" t="s">
        <v>117</v>
      </c>
      <c r="M174" s="26"/>
      <c r="N174" s="27" t="s">
        <v>27</v>
      </c>
      <c r="O174" s="27"/>
    </row>
    <row r="175" spans="1:15" outlineLevel="1">
      <c r="A175" s="27" t="s">
        <v>191</v>
      </c>
      <c r="B175" s="27">
        <v>1</v>
      </c>
      <c r="C175" s="27" t="s">
        <v>145</v>
      </c>
      <c r="D175" s="27" t="s">
        <v>208</v>
      </c>
      <c r="E175" s="26" t="s">
        <v>212</v>
      </c>
      <c r="F175" s="26" t="s">
        <v>213</v>
      </c>
      <c r="G175" s="26">
        <v>500207510422</v>
      </c>
      <c r="H175" s="26" t="s">
        <v>214</v>
      </c>
      <c r="I175" s="26" t="s">
        <v>35</v>
      </c>
      <c r="J175" s="26" t="s">
        <v>38</v>
      </c>
      <c r="K175" s="33">
        <v>44661</v>
      </c>
      <c r="L175" s="26" t="s">
        <v>1120</v>
      </c>
      <c r="M175" s="26"/>
      <c r="N175" s="27" t="s">
        <v>27</v>
      </c>
      <c r="O175" s="27"/>
    </row>
    <row r="176" spans="1:15" outlineLevel="1">
      <c r="A176" s="27" t="s">
        <v>191</v>
      </c>
      <c r="B176" s="27">
        <v>1</v>
      </c>
      <c r="C176" s="27" t="s">
        <v>145</v>
      </c>
      <c r="D176" s="27" t="s">
        <v>208</v>
      </c>
      <c r="E176" s="26" t="s">
        <v>215</v>
      </c>
      <c r="F176" s="26" t="s">
        <v>216</v>
      </c>
      <c r="G176" s="26">
        <v>500207510418</v>
      </c>
      <c r="H176" s="26" t="s">
        <v>217</v>
      </c>
      <c r="I176" s="26" t="s">
        <v>35</v>
      </c>
      <c r="J176" s="26" t="s">
        <v>38</v>
      </c>
      <c r="K176" s="33">
        <v>44661</v>
      </c>
      <c r="L176" s="26" t="s">
        <v>117</v>
      </c>
      <c r="M176" s="26"/>
      <c r="N176" s="27" t="s">
        <v>27</v>
      </c>
      <c r="O176" s="27"/>
    </row>
    <row r="177" spans="1:15" outlineLevel="1">
      <c r="A177" s="27" t="s">
        <v>191</v>
      </c>
      <c r="B177" s="27">
        <v>1</v>
      </c>
      <c r="C177" s="27" t="s">
        <v>203</v>
      </c>
      <c r="D177" s="27">
        <v>179</v>
      </c>
      <c r="E177" s="26">
        <v>96050083</v>
      </c>
      <c r="F177" s="26" t="s">
        <v>204</v>
      </c>
      <c r="G177" s="26" t="s">
        <v>35</v>
      </c>
      <c r="H177" s="26" t="s">
        <v>205</v>
      </c>
      <c r="I177" s="26" t="s">
        <v>35</v>
      </c>
      <c r="J177" s="26" t="s">
        <v>38</v>
      </c>
      <c r="K177" s="33">
        <v>43475</v>
      </c>
      <c r="L177" s="26" t="s">
        <v>117</v>
      </c>
      <c r="M177" s="26"/>
      <c r="N177" s="27" t="s">
        <v>27</v>
      </c>
      <c r="O177" s="27"/>
    </row>
    <row r="178" spans="1:15" outlineLevel="1">
      <c r="A178" s="27" t="s">
        <v>191</v>
      </c>
      <c r="B178" s="27">
        <v>1</v>
      </c>
      <c r="C178" s="27" t="s">
        <v>203</v>
      </c>
      <c r="D178" s="27">
        <v>179</v>
      </c>
      <c r="E178" s="26">
        <v>97330060</v>
      </c>
      <c r="F178" s="26" t="s">
        <v>206</v>
      </c>
      <c r="G178" s="26" t="s">
        <v>35</v>
      </c>
      <c r="H178" s="26" t="s">
        <v>207</v>
      </c>
      <c r="I178" s="26" t="s">
        <v>35</v>
      </c>
      <c r="J178" s="26" t="s">
        <v>38</v>
      </c>
      <c r="K178" s="33">
        <v>43475</v>
      </c>
      <c r="L178" s="26" t="s">
        <v>1120</v>
      </c>
      <c r="M178" s="26"/>
      <c r="N178" s="27" t="s">
        <v>27</v>
      </c>
      <c r="O178" s="27"/>
    </row>
    <row r="179" spans="1:15" outlineLevel="1">
      <c r="A179" s="27" t="s">
        <v>191</v>
      </c>
      <c r="B179" s="27">
        <v>1</v>
      </c>
      <c r="C179" s="27" t="s">
        <v>203</v>
      </c>
      <c r="D179" s="27">
        <v>179</v>
      </c>
      <c r="E179" s="26"/>
      <c r="F179" s="26" t="e">
        <f>#N/A</f>
        <v>#N/A</v>
      </c>
      <c r="G179" s="26" t="s">
        <v>35</v>
      </c>
      <c r="H179" s="26"/>
      <c r="I179" s="26"/>
      <c r="J179" s="26" t="s">
        <v>38</v>
      </c>
      <c r="K179" s="33">
        <v>43475</v>
      </c>
      <c r="L179" s="30"/>
      <c r="M179" s="30"/>
      <c r="N179" s="27" t="s">
        <v>1137</v>
      </c>
      <c r="O179" s="27" t="s">
        <v>1138</v>
      </c>
    </row>
    <row r="180" spans="1:15">
      <c r="A180" s="168" t="s">
        <v>31</v>
      </c>
      <c r="B180" s="72">
        <v>7</v>
      </c>
      <c r="C180" s="72" t="s">
        <v>32</v>
      </c>
      <c r="D180" s="72" t="s">
        <v>33</v>
      </c>
      <c r="E180" s="166" t="s">
        <v>15</v>
      </c>
      <c r="F180" s="166" t="s">
        <v>14</v>
      </c>
      <c r="G180" s="166"/>
      <c r="H180" s="166" t="s">
        <v>15</v>
      </c>
      <c r="I180" s="166"/>
      <c r="J180" s="166"/>
      <c r="K180" s="167">
        <v>43475</v>
      </c>
      <c r="L180" s="170" t="s">
        <v>15</v>
      </c>
      <c r="M180" s="170"/>
      <c r="N180" s="72" t="s">
        <v>27</v>
      </c>
      <c r="O180" s="72" t="s">
        <v>1123</v>
      </c>
    </row>
    <row r="181" spans="1:15" outlineLevel="1">
      <c r="A181" s="27" t="s">
        <v>31</v>
      </c>
      <c r="B181" s="27">
        <v>1</v>
      </c>
      <c r="C181" s="27" t="s">
        <v>32</v>
      </c>
      <c r="D181" s="27" t="s">
        <v>33</v>
      </c>
      <c r="E181" s="26" t="s">
        <v>34</v>
      </c>
      <c r="F181" s="26" t="s">
        <v>36</v>
      </c>
      <c r="G181" s="26" t="s">
        <v>35</v>
      </c>
      <c r="H181" s="26" t="s">
        <v>37</v>
      </c>
      <c r="I181" s="26">
        <v>3476786</v>
      </c>
      <c r="J181" s="26" t="s">
        <v>38</v>
      </c>
      <c r="K181" s="33">
        <v>43475</v>
      </c>
      <c r="L181" s="30" t="s">
        <v>102</v>
      </c>
      <c r="M181" s="30"/>
      <c r="N181" s="27" t="s">
        <v>27</v>
      </c>
      <c r="O181" s="27"/>
    </row>
    <row r="182" spans="1:15" outlineLevel="1">
      <c r="A182" s="27" t="s">
        <v>31</v>
      </c>
      <c r="B182" s="27">
        <v>1</v>
      </c>
      <c r="C182" s="27" t="s">
        <v>32</v>
      </c>
      <c r="D182" s="27" t="s">
        <v>33</v>
      </c>
      <c r="E182" s="26" t="s">
        <v>337</v>
      </c>
      <c r="F182" s="26" t="s">
        <v>338</v>
      </c>
      <c r="G182" s="26" t="s">
        <v>35</v>
      </c>
      <c r="H182" s="26" t="s">
        <v>339</v>
      </c>
      <c r="I182" s="26">
        <v>3476780</v>
      </c>
      <c r="J182" s="26" t="s">
        <v>38</v>
      </c>
      <c r="K182" s="33">
        <v>43475</v>
      </c>
      <c r="L182" s="30" t="s">
        <v>102</v>
      </c>
      <c r="M182" s="30"/>
      <c r="N182" s="27" t="s">
        <v>27</v>
      </c>
      <c r="O182" s="27"/>
    </row>
    <row r="183" spans="1:15" outlineLevel="1">
      <c r="A183" s="27" t="s">
        <v>31</v>
      </c>
      <c r="B183" s="27">
        <v>1</v>
      </c>
      <c r="C183" s="27" t="s">
        <v>32</v>
      </c>
      <c r="D183" s="27" t="s">
        <v>33</v>
      </c>
      <c r="E183" s="26" t="s">
        <v>365</v>
      </c>
      <c r="F183" s="26" t="s">
        <v>366</v>
      </c>
      <c r="G183" s="3" t="s">
        <v>35</v>
      </c>
      <c r="H183" s="26" t="s">
        <v>367</v>
      </c>
      <c r="I183" s="26">
        <v>3476781</v>
      </c>
      <c r="J183" s="26" t="s">
        <v>38</v>
      </c>
      <c r="K183" s="33">
        <v>43475</v>
      </c>
      <c r="L183" s="30" t="s">
        <v>102</v>
      </c>
      <c r="M183" s="30"/>
      <c r="N183" s="27" t="s">
        <v>27</v>
      </c>
      <c r="O183" s="27"/>
    </row>
    <row r="184" spans="1:15" outlineLevel="1">
      <c r="A184" s="27" t="s">
        <v>31</v>
      </c>
      <c r="B184" s="27">
        <v>1</v>
      </c>
      <c r="C184" s="27" t="s">
        <v>32</v>
      </c>
      <c r="D184" s="27" t="s">
        <v>33</v>
      </c>
      <c r="E184" s="26" t="s">
        <v>368</v>
      </c>
      <c r="F184" s="26" t="s">
        <v>369</v>
      </c>
      <c r="G184" s="26" t="s">
        <v>35</v>
      </c>
      <c r="H184" s="26" t="s">
        <v>370</v>
      </c>
      <c r="I184" s="26">
        <v>3476782</v>
      </c>
      <c r="J184" s="26" t="s">
        <v>38</v>
      </c>
      <c r="K184" s="33">
        <v>43475</v>
      </c>
      <c r="L184" s="30" t="s">
        <v>102</v>
      </c>
      <c r="M184" s="30"/>
      <c r="N184" s="27" t="s">
        <v>27</v>
      </c>
      <c r="O184" s="27"/>
    </row>
    <row r="185" spans="1:15" outlineLevel="1">
      <c r="A185" s="27" t="s">
        <v>31</v>
      </c>
      <c r="B185" s="27">
        <v>1</v>
      </c>
      <c r="C185" s="27" t="s">
        <v>32</v>
      </c>
      <c r="D185" s="27" t="s">
        <v>33</v>
      </c>
      <c r="E185" s="26" t="s">
        <v>371</v>
      </c>
      <c r="F185" s="26" t="s">
        <v>372</v>
      </c>
      <c r="G185" s="26" t="s">
        <v>35</v>
      </c>
      <c r="H185" s="26" t="s">
        <v>373</v>
      </c>
      <c r="I185" s="26">
        <v>3476783</v>
      </c>
      <c r="J185" s="26" t="s">
        <v>38</v>
      </c>
      <c r="K185" s="33">
        <v>43475</v>
      </c>
      <c r="L185" s="30" t="s">
        <v>262</v>
      </c>
      <c r="M185" s="30"/>
      <c r="N185" s="27" t="s">
        <v>27</v>
      </c>
      <c r="O185" s="27"/>
    </row>
    <row r="186" spans="1:15" outlineLevel="1">
      <c r="A186" s="27" t="s">
        <v>31</v>
      </c>
      <c r="B186" s="27">
        <v>1</v>
      </c>
      <c r="C186" s="27" t="s">
        <v>32</v>
      </c>
      <c r="D186" s="27" t="s">
        <v>33</v>
      </c>
      <c r="E186" s="26" t="s">
        <v>374</v>
      </c>
      <c r="F186" s="26" t="s">
        <v>375</v>
      </c>
      <c r="G186" s="26" t="s">
        <v>35</v>
      </c>
      <c r="H186" s="26" t="s">
        <v>376</v>
      </c>
      <c r="I186" s="26">
        <v>3476784</v>
      </c>
      <c r="J186" s="26" t="s">
        <v>38</v>
      </c>
      <c r="K186" s="33">
        <v>43475</v>
      </c>
      <c r="L186" s="30" t="s">
        <v>1222</v>
      </c>
      <c r="M186" s="30"/>
      <c r="N186" s="27" t="s">
        <v>27</v>
      </c>
      <c r="O186" s="27"/>
    </row>
    <row r="187" spans="1:15" outlineLevel="1">
      <c r="A187" s="27" t="s">
        <v>31</v>
      </c>
      <c r="B187" s="27">
        <v>1</v>
      </c>
      <c r="C187" s="27" t="s">
        <v>32</v>
      </c>
      <c r="D187" s="27" t="s">
        <v>33</v>
      </c>
      <c r="E187" s="26" t="s">
        <v>377</v>
      </c>
      <c r="F187" s="26" t="s">
        <v>378</v>
      </c>
      <c r="G187" s="26" t="s">
        <v>35</v>
      </c>
      <c r="H187" s="26" t="s">
        <v>379</v>
      </c>
      <c r="I187" s="26">
        <v>3476785</v>
      </c>
      <c r="J187" s="26" t="s">
        <v>38</v>
      </c>
      <c r="K187" s="33">
        <v>43475</v>
      </c>
      <c r="L187" s="30" t="s">
        <v>1222</v>
      </c>
      <c r="M187" s="30"/>
      <c r="N187" s="27" t="s">
        <v>27</v>
      </c>
      <c r="O187" s="27"/>
    </row>
    <row r="188" spans="1:15">
      <c r="A188" s="168" t="s">
        <v>380</v>
      </c>
      <c r="B188" s="72">
        <v>19</v>
      </c>
      <c r="C188" s="72" t="s">
        <v>35</v>
      </c>
      <c r="D188" s="72" t="s">
        <v>35</v>
      </c>
      <c r="E188" s="166" t="s">
        <v>35</v>
      </c>
      <c r="F188" s="166" t="s">
        <v>101</v>
      </c>
      <c r="G188" s="166" t="s">
        <v>35</v>
      </c>
      <c r="H188" s="166" t="s">
        <v>35</v>
      </c>
      <c r="I188" s="166" t="s">
        <v>35</v>
      </c>
      <c r="J188" s="166" t="s">
        <v>25</v>
      </c>
      <c r="K188" s="167">
        <v>43475</v>
      </c>
      <c r="L188" s="170" t="s">
        <v>102</v>
      </c>
      <c r="M188" s="170"/>
      <c r="N188" s="72" t="s">
        <v>27</v>
      </c>
      <c r="O188" s="72"/>
    </row>
    <row r="189" spans="1:15">
      <c r="A189" s="168" t="s">
        <v>834</v>
      </c>
      <c r="B189" s="72">
        <v>1</v>
      </c>
      <c r="C189" s="72" t="s">
        <v>835</v>
      </c>
      <c r="D189" s="72" t="s">
        <v>836</v>
      </c>
      <c r="E189" s="166" t="s">
        <v>35</v>
      </c>
      <c r="F189" s="166" t="s">
        <v>101</v>
      </c>
      <c r="G189" s="166" t="s">
        <v>837</v>
      </c>
      <c r="H189" s="166" t="s">
        <v>35</v>
      </c>
      <c r="I189" s="166" t="s">
        <v>35</v>
      </c>
      <c r="J189" s="166" t="s">
        <v>38</v>
      </c>
      <c r="K189" s="167">
        <v>45013</v>
      </c>
      <c r="L189" s="166" t="s">
        <v>1120</v>
      </c>
      <c r="M189" s="170"/>
      <c r="N189" s="72" t="s">
        <v>27</v>
      </c>
      <c r="O189" s="72"/>
    </row>
    <row r="190" spans="1:15" ht="30">
      <c r="A190" s="168" t="s">
        <v>440</v>
      </c>
      <c r="B190" s="72">
        <v>1</v>
      </c>
      <c r="C190" s="72" t="s">
        <v>441</v>
      </c>
      <c r="D190" s="185" t="s">
        <v>442</v>
      </c>
      <c r="E190" s="166" t="s">
        <v>35</v>
      </c>
      <c r="F190" s="166" t="s">
        <v>101</v>
      </c>
      <c r="G190" s="166" t="s">
        <v>443</v>
      </c>
      <c r="H190" s="166"/>
      <c r="I190" s="166"/>
      <c r="J190" s="166" t="s">
        <v>38</v>
      </c>
      <c r="K190" s="167">
        <v>45048</v>
      </c>
      <c r="L190" s="170" t="s">
        <v>445</v>
      </c>
      <c r="M190" s="170"/>
      <c r="N190" s="72" t="s">
        <v>27</v>
      </c>
      <c r="O190" s="72"/>
    </row>
    <row r="191" spans="1:15">
      <c r="A191" s="181" t="s">
        <v>221</v>
      </c>
      <c r="B191" s="176">
        <v>3</v>
      </c>
      <c r="C191" s="72" t="s">
        <v>35</v>
      </c>
      <c r="D191" s="72" t="s">
        <v>35</v>
      </c>
      <c r="E191" s="180" t="s">
        <v>35</v>
      </c>
      <c r="F191" s="180" t="s">
        <v>101</v>
      </c>
      <c r="G191" s="166" t="s">
        <v>35</v>
      </c>
      <c r="H191" s="166" t="s">
        <v>35</v>
      </c>
      <c r="I191" s="166" t="s">
        <v>35</v>
      </c>
      <c r="J191" s="166"/>
      <c r="K191" s="167">
        <v>43475</v>
      </c>
      <c r="L191" s="170"/>
      <c r="M191" s="170"/>
      <c r="N191" s="72" t="s">
        <v>27</v>
      </c>
      <c r="O191" s="72"/>
    </row>
    <row r="192" spans="1:15" outlineLevel="1">
      <c r="A192" s="78" t="s">
        <v>221</v>
      </c>
      <c r="B192" s="78">
        <v>1</v>
      </c>
      <c r="C192" s="27" t="s">
        <v>35</v>
      </c>
      <c r="D192" s="27" t="s">
        <v>35</v>
      </c>
      <c r="E192" s="78" t="s">
        <v>35</v>
      </c>
      <c r="F192" s="78" t="s">
        <v>101</v>
      </c>
      <c r="G192" s="27" t="s">
        <v>35</v>
      </c>
      <c r="H192" s="26" t="s">
        <v>223</v>
      </c>
      <c r="I192" s="26" t="s">
        <v>35</v>
      </c>
      <c r="J192" s="26" t="s">
        <v>25</v>
      </c>
      <c r="K192" s="33">
        <v>43475</v>
      </c>
      <c r="L192" s="27" t="s">
        <v>224</v>
      </c>
      <c r="M192" s="27"/>
      <c r="N192" s="27" t="s">
        <v>27</v>
      </c>
      <c r="O192" s="27"/>
    </row>
    <row r="193" spans="1:15" outlineLevel="1">
      <c r="A193" s="78" t="s">
        <v>221</v>
      </c>
      <c r="B193" s="78">
        <v>1</v>
      </c>
      <c r="C193" s="27" t="s">
        <v>35</v>
      </c>
      <c r="D193" s="27" t="s">
        <v>35</v>
      </c>
      <c r="E193" s="78" t="s">
        <v>35</v>
      </c>
      <c r="F193" s="78" t="s">
        <v>101</v>
      </c>
      <c r="G193" s="27" t="s">
        <v>35</v>
      </c>
      <c r="H193" s="26" t="s">
        <v>226</v>
      </c>
      <c r="I193" s="26" t="s">
        <v>35</v>
      </c>
      <c r="J193" s="26" t="s">
        <v>25</v>
      </c>
      <c r="K193" s="33">
        <v>43475</v>
      </c>
      <c r="L193" s="27" t="s">
        <v>227</v>
      </c>
      <c r="M193" s="27"/>
      <c r="N193" s="27" t="s">
        <v>27</v>
      </c>
      <c r="O193" s="27"/>
    </row>
    <row r="194" spans="1:15" outlineLevel="1">
      <c r="A194" s="78" t="s">
        <v>221</v>
      </c>
      <c r="B194" s="78">
        <v>1</v>
      </c>
      <c r="C194" s="27" t="s">
        <v>35</v>
      </c>
      <c r="D194" s="27" t="s">
        <v>35</v>
      </c>
      <c r="E194" s="64" t="s">
        <v>35</v>
      </c>
      <c r="F194" s="64" t="s">
        <v>101</v>
      </c>
      <c r="G194" s="27" t="s">
        <v>35</v>
      </c>
      <c r="H194" s="26" t="s">
        <v>229</v>
      </c>
      <c r="I194" s="26" t="s">
        <v>35</v>
      </c>
      <c r="J194" s="26" t="s">
        <v>25</v>
      </c>
      <c r="K194" s="33">
        <v>43475</v>
      </c>
      <c r="L194" s="30" t="s">
        <v>230</v>
      </c>
      <c r="M194" s="30"/>
      <c r="N194" s="27" t="s">
        <v>27</v>
      </c>
      <c r="O194" s="27"/>
    </row>
    <row r="195" spans="1:15">
      <c r="A195" s="181" t="s">
        <v>232</v>
      </c>
      <c r="B195" s="176">
        <v>4</v>
      </c>
      <c r="C195" s="72" t="s">
        <v>15</v>
      </c>
      <c r="D195" s="72" t="s">
        <v>15</v>
      </c>
      <c r="E195" s="180" t="s">
        <v>15</v>
      </c>
      <c r="F195" s="180" t="s">
        <v>14</v>
      </c>
      <c r="G195" s="166" t="s">
        <v>15</v>
      </c>
      <c r="H195" s="166" t="s">
        <v>15</v>
      </c>
      <c r="I195" s="166" t="s">
        <v>15</v>
      </c>
      <c r="J195" s="166"/>
      <c r="K195" s="167">
        <v>43475</v>
      </c>
      <c r="L195" s="170" t="s">
        <v>15</v>
      </c>
      <c r="M195" s="170"/>
      <c r="N195" s="72" t="s">
        <v>27</v>
      </c>
      <c r="O195" s="72"/>
    </row>
    <row r="196" spans="1:15" outlineLevel="1">
      <c r="A196" s="27" t="s">
        <v>232</v>
      </c>
      <c r="B196" s="27">
        <v>2</v>
      </c>
      <c r="C196" s="27" t="s">
        <v>233</v>
      </c>
      <c r="D196" s="27" t="s">
        <v>35</v>
      </c>
      <c r="E196" s="26" t="s">
        <v>35</v>
      </c>
      <c r="F196" s="26" t="s">
        <v>101</v>
      </c>
      <c r="G196" s="26" t="s">
        <v>35</v>
      </c>
      <c r="H196" s="26" t="s">
        <v>235</v>
      </c>
      <c r="I196" s="26"/>
      <c r="J196" s="26" t="s">
        <v>25</v>
      </c>
      <c r="K196" s="33">
        <v>43475</v>
      </c>
      <c r="L196" s="30" t="s">
        <v>236</v>
      </c>
      <c r="M196" s="30"/>
      <c r="N196" s="27" t="s">
        <v>27</v>
      </c>
      <c r="O196" s="27"/>
    </row>
    <row r="197" spans="1:15" outlineLevel="1">
      <c r="A197" s="27" t="s">
        <v>232</v>
      </c>
      <c r="B197" s="27">
        <v>1</v>
      </c>
      <c r="C197" s="27" t="s">
        <v>233</v>
      </c>
      <c r="D197" s="27" t="s">
        <v>237</v>
      </c>
      <c r="E197" s="26">
        <v>31889</v>
      </c>
      <c r="F197" s="26" t="s">
        <v>238</v>
      </c>
      <c r="G197" s="26" t="s">
        <v>35</v>
      </c>
      <c r="H197" s="26" t="s">
        <v>239</v>
      </c>
      <c r="I197" s="26" t="s">
        <v>35</v>
      </c>
      <c r="J197" s="26" t="s">
        <v>25</v>
      </c>
      <c r="K197" s="33">
        <v>43475</v>
      </c>
      <c r="L197" s="30" t="s">
        <v>26</v>
      </c>
      <c r="M197" s="30"/>
      <c r="N197" s="27" t="s">
        <v>27</v>
      </c>
      <c r="O197" s="27"/>
    </row>
    <row r="198" spans="1:15" outlineLevel="1">
      <c r="A198" s="27" t="s">
        <v>232</v>
      </c>
      <c r="B198" s="27">
        <v>1</v>
      </c>
      <c r="C198" s="27" t="s">
        <v>233</v>
      </c>
      <c r="D198" s="27" t="s">
        <v>240</v>
      </c>
      <c r="E198" s="26">
        <v>35101</v>
      </c>
      <c r="F198" s="26" t="s">
        <v>241</v>
      </c>
      <c r="G198" s="26" t="s">
        <v>35</v>
      </c>
      <c r="H198" s="26" t="s">
        <v>242</v>
      </c>
      <c r="I198" s="26" t="s">
        <v>35</v>
      </c>
      <c r="J198" s="26" t="s">
        <v>25</v>
      </c>
      <c r="K198" s="33">
        <v>43475</v>
      </c>
      <c r="L198" s="30" t="s">
        <v>78</v>
      </c>
      <c r="M198" s="30"/>
      <c r="N198" s="27" t="s">
        <v>27</v>
      </c>
      <c r="O198" s="27"/>
    </row>
    <row r="199" spans="1:15">
      <c r="A199" s="168" t="s">
        <v>243</v>
      </c>
      <c r="B199" s="72">
        <v>10</v>
      </c>
      <c r="C199" s="72" t="s">
        <v>244</v>
      </c>
      <c r="D199" s="72" t="s">
        <v>245</v>
      </c>
      <c r="E199" s="166" t="s">
        <v>15</v>
      </c>
      <c r="F199" s="166" t="s">
        <v>14</v>
      </c>
      <c r="G199" s="166" t="s">
        <v>35</v>
      </c>
      <c r="H199" s="166" t="s">
        <v>15</v>
      </c>
      <c r="I199" s="166" t="s">
        <v>35</v>
      </c>
      <c r="J199" s="166"/>
      <c r="K199" s="167">
        <v>43475</v>
      </c>
      <c r="L199" s="170" t="s">
        <v>15</v>
      </c>
      <c r="M199" s="170"/>
      <c r="N199" s="72" t="s">
        <v>27</v>
      </c>
      <c r="O199" s="72"/>
    </row>
    <row r="200" spans="1:15" outlineLevel="1">
      <c r="A200" s="27" t="s">
        <v>243</v>
      </c>
      <c r="B200" s="27">
        <v>1</v>
      </c>
      <c r="C200" s="27" t="s">
        <v>244</v>
      </c>
      <c r="D200" s="27" t="s">
        <v>245</v>
      </c>
      <c r="E200" s="31" t="s">
        <v>545</v>
      </c>
      <c r="F200" s="31" t="s">
        <v>546</v>
      </c>
      <c r="G200" s="26" t="s">
        <v>35</v>
      </c>
      <c r="H200" s="26" t="s">
        <v>547</v>
      </c>
      <c r="I200" s="26" t="s">
        <v>548</v>
      </c>
      <c r="J200" s="26" t="s">
        <v>25</v>
      </c>
      <c r="K200" s="33">
        <v>43475</v>
      </c>
      <c r="L200" s="30" t="s">
        <v>1139</v>
      </c>
      <c r="M200" s="30"/>
      <c r="N200" s="27" t="s">
        <v>27</v>
      </c>
      <c r="O200" s="27"/>
    </row>
    <row r="201" spans="1:15" outlineLevel="1">
      <c r="A201" s="27" t="s">
        <v>243</v>
      </c>
      <c r="B201" s="27">
        <v>1</v>
      </c>
      <c r="C201" s="27" t="s">
        <v>244</v>
      </c>
      <c r="D201" s="27" t="s">
        <v>245</v>
      </c>
      <c r="E201" s="31" t="s">
        <v>549</v>
      </c>
      <c r="F201" s="31" t="s">
        <v>550</v>
      </c>
      <c r="G201" s="26" t="s">
        <v>35</v>
      </c>
      <c r="H201" s="26" t="s">
        <v>551</v>
      </c>
      <c r="I201" s="26" t="s">
        <v>548</v>
      </c>
      <c r="J201" s="26" t="s">
        <v>25</v>
      </c>
      <c r="K201" s="33">
        <v>43475</v>
      </c>
      <c r="L201" s="30" t="s">
        <v>1139</v>
      </c>
      <c r="M201" s="30"/>
      <c r="N201" s="27" t="s">
        <v>27</v>
      </c>
      <c r="O201" s="27"/>
    </row>
    <row r="202" spans="1:15" outlineLevel="1">
      <c r="A202" s="27" t="s">
        <v>243</v>
      </c>
      <c r="B202" s="27">
        <v>1</v>
      </c>
      <c r="C202" s="27" t="s">
        <v>244</v>
      </c>
      <c r="D202" s="27" t="s">
        <v>245</v>
      </c>
      <c r="E202" s="31" t="s">
        <v>552</v>
      </c>
      <c r="F202" s="31" t="s">
        <v>553</v>
      </c>
      <c r="G202" s="26" t="s">
        <v>35</v>
      </c>
      <c r="H202" s="26" t="s">
        <v>554</v>
      </c>
      <c r="I202" s="26" t="s">
        <v>548</v>
      </c>
      <c r="J202" s="26" t="s">
        <v>25</v>
      </c>
      <c r="K202" s="33">
        <v>43475</v>
      </c>
      <c r="L202" s="30" t="s">
        <v>1139</v>
      </c>
      <c r="M202" s="30"/>
      <c r="N202" s="27" t="s">
        <v>27</v>
      </c>
      <c r="O202" s="27"/>
    </row>
    <row r="203" spans="1:15" outlineLevel="1">
      <c r="A203" s="27" t="s">
        <v>243</v>
      </c>
      <c r="B203" s="27">
        <v>1</v>
      </c>
      <c r="C203" s="27" t="s">
        <v>244</v>
      </c>
      <c r="D203" s="27" t="s">
        <v>245</v>
      </c>
      <c r="E203" s="31" t="s">
        <v>555</v>
      </c>
      <c r="F203" s="31" t="s">
        <v>556</v>
      </c>
      <c r="G203" s="26" t="s">
        <v>35</v>
      </c>
      <c r="H203" s="26" t="s">
        <v>557</v>
      </c>
      <c r="I203" s="26" t="s">
        <v>548</v>
      </c>
      <c r="J203" s="26" t="s">
        <v>25</v>
      </c>
      <c r="K203" s="33">
        <v>43475</v>
      </c>
      <c r="L203" s="30" t="s">
        <v>169</v>
      </c>
      <c r="M203" s="30"/>
      <c r="N203" s="27" t="s">
        <v>27</v>
      </c>
      <c r="O203" s="27"/>
    </row>
    <row r="204" spans="1:15" outlineLevel="1">
      <c r="A204" s="27" t="s">
        <v>243</v>
      </c>
      <c r="B204" s="27">
        <v>1</v>
      </c>
      <c r="C204" s="27" t="s">
        <v>244</v>
      </c>
      <c r="D204" s="27" t="s">
        <v>245</v>
      </c>
      <c r="E204" s="31" t="s">
        <v>558</v>
      </c>
      <c r="F204" s="31" t="s">
        <v>559</v>
      </c>
      <c r="G204" s="26" t="s">
        <v>35</v>
      </c>
      <c r="H204" s="26" t="s">
        <v>560</v>
      </c>
      <c r="I204" s="26" t="s">
        <v>548</v>
      </c>
      <c r="J204" s="26" t="s">
        <v>25</v>
      </c>
      <c r="K204" s="33">
        <v>43475</v>
      </c>
      <c r="L204" s="30" t="s">
        <v>561</v>
      </c>
      <c r="M204" s="30"/>
      <c r="N204" s="27" t="s">
        <v>27</v>
      </c>
      <c r="O204" s="27"/>
    </row>
    <row r="205" spans="1:15" outlineLevel="1">
      <c r="A205" s="27" t="s">
        <v>243</v>
      </c>
      <c r="B205" s="27">
        <v>1</v>
      </c>
      <c r="C205" s="27" t="s">
        <v>244</v>
      </c>
      <c r="D205" s="27" t="s">
        <v>245</v>
      </c>
      <c r="E205" s="23" t="s">
        <v>562</v>
      </c>
      <c r="F205" s="23" t="s">
        <v>563</v>
      </c>
      <c r="G205" s="24" t="s">
        <v>35</v>
      </c>
      <c r="H205" s="26" t="s">
        <v>564</v>
      </c>
      <c r="I205" s="26" t="s">
        <v>548</v>
      </c>
      <c r="J205" s="26" t="s">
        <v>25</v>
      </c>
      <c r="K205" s="33">
        <v>43475</v>
      </c>
      <c r="L205" s="30" t="s">
        <v>565</v>
      </c>
      <c r="M205" s="30"/>
      <c r="N205" s="27" t="s">
        <v>27</v>
      </c>
      <c r="O205" s="27"/>
    </row>
    <row r="206" spans="1:15" outlineLevel="1">
      <c r="A206" s="27" t="s">
        <v>243</v>
      </c>
      <c r="B206" s="27">
        <v>1</v>
      </c>
      <c r="C206" s="27" t="s">
        <v>244</v>
      </c>
      <c r="D206" s="27" t="s">
        <v>245</v>
      </c>
      <c r="E206" s="23" t="s">
        <v>566</v>
      </c>
      <c r="F206" s="23" t="s">
        <v>567</v>
      </c>
      <c r="G206" s="24" t="s">
        <v>35</v>
      </c>
      <c r="H206" s="26" t="s">
        <v>568</v>
      </c>
      <c r="I206" s="26" t="s">
        <v>548</v>
      </c>
      <c r="J206" s="26" t="s">
        <v>25</v>
      </c>
      <c r="K206" s="33">
        <v>43475</v>
      </c>
      <c r="L206" s="30" t="s">
        <v>1139</v>
      </c>
      <c r="M206" s="30"/>
      <c r="N206" s="27" t="s">
        <v>27</v>
      </c>
      <c r="O206" s="27"/>
    </row>
    <row r="207" spans="1:15" outlineLevel="1">
      <c r="A207" s="27" t="s">
        <v>243</v>
      </c>
      <c r="B207" s="27">
        <v>1</v>
      </c>
      <c r="C207" s="27" t="s">
        <v>244</v>
      </c>
      <c r="D207" s="27" t="s">
        <v>245</v>
      </c>
      <c r="E207" s="31" t="s">
        <v>569</v>
      </c>
      <c r="F207" s="31" t="s">
        <v>570</v>
      </c>
      <c r="G207" s="24" t="s">
        <v>35</v>
      </c>
      <c r="H207" s="26" t="s">
        <v>571</v>
      </c>
      <c r="I207" s="26" t="s">
        <v>548</v>
      </c>
      <c r="J207" s="26" t="s">
        <v>25</v>
      </c>
      <c r="K207" s="33">
        <v>43475</v>
      </c>
      <c r="L207" s="30" t="s">
        <v>1139</v>
      </c>
      <c r="M207" s="30"/>
      <c r="N207" s="27" t="s">
        <v>27</v>
      </c>
      <c r="O207" s="27"/>
    </row>
    <row r="208" spans="1:15" outlineLevel="1">
      <c r="A208" s="27" t="s">
        <v>243</v>
      </c>
      <c r="B208" s="27">
        <v>1</v>
      </c>
      <c r="C208" s="27" t="s">
        <v>244</v>
      </c>
      <c r="D208" s="27" t="s">
        <v>245</v>
      </c>
      <c r="E208" s="31" t="s">
        <v>572</v>
      </c>
      <c r="F208" s="31" t="s">
        <v>573</v>
      </c>
      <c r="G208" s="24" t="s">
        <v>35</v>
      </c>
      <c r="H208" s="26" t="s">
        <v>574</v>
      </c>
      <c r="I208" s="26" t="s">
        <v>548</v>
      </c>
      <c r="J208" s="26" t="s">
        <v>25</v>
      </c>
      <c r="K208" s="33">
        <v>43475</v>
      </c>
      <c r="L208" s="30" t="s">
        <v>102</v>
      </c>
      <c r="M208" s="30"/>
      <c r="N208" s="27" t="s">
        <v>27</v>
      </c>
      <c r="O208" s="27"/>
    </row>
    <row r="209" spans="1:15" outlineLevel="1">
      <c r="A209" s="27" t="s">
        <v>243</v>
      </c>
      <c r="B209" s="27">
        <v>1</v>
      </c>
      <c r="C209" s="27" t="s">
        <v>244</v>
      </c>
      <c r="D209" s="27" t="s">
        <v>245</v>
      </c>
      <c r="E209" s="31" t="s">
        <v>575</v>
      </c>
      <c r="F209" s="31" t="s">
        <v>576</v>
      </c>
      <c r="G209" s="26" t="s">
        <v>35</v>
      </c>
      <c r="H209" s="26" t="s">
        <v>577</v>
      </c>
      <c r="I209" s="26" t="s">
        <v>548</v>
      </c>
      <c r="J209" s="26" t="s">
        <v>25</v>
      </c>
      <c r="K209" s="33">
        <v>43475</v>
      </c>
      <c r="L209" s="30" t="s">
        <v>1139</v>
      </c>
      <c r="M209" s="30"/>
      <c r="N209" s="27" t="s">
        <v>27</v>
      </c>
      <c r="O209" s="27"/>
    </row>
    <row r="210" spans="1:15">
      <c r="A210" s="168" t="s">
        <v>579</v>
      </c>
      <c r="B210" s="72">
        <v>2</v>
      </c>
      <c r="C210" s="72" t="s">
        <v>580</v>
      </c>
      <c r="D210" s="72" t="s">
        <v>581</v>
      </c>
      <c r="E210" s="166" t="s">
        <v>35</v>
      </c>
      <c r="F210" s="166" t="s">
        <v>101</v>
      </c>
      <c r="G210" s="166" t="s">
        <v>582</v>
      </c>
      <c r="H210" s="166" t="s">
        <v>35</v>
      </c>
      <c r="I210" s="166" t="s">
        <v>35</v>
      </c>
      <c r="J210" s="166" t="s">
        <v>25</v>
      </c>
      <c r="K210" s="167">
        <v>44019</v>
      </c>
      <c r="L210" s="170" t="s">
        <v>93</v>
      </c>
      <c r="M210" s="170"/>
      <c r="N210" s="72" t="s">
        <v>27</v>
      </c>
      <c r="O210" s="72"/>
    </row>
    <row r="211" spans="1:15">
      <c r="A211" s="168" t="s">
        <v>839</v>
      </c>
      <c r="B211" s="72">
        <v>1</v>
      </c>
      <c r="C211" s="72" t="s">
        <v>840</v>
      </c>
      <c r="D211" s="72" t="s">
        <v>841</v>
      </c>
      <c r="E211" s="166" t="s">
        <v>842</v>
      </c>
      <c r="F211" s="166" t="s">
        <v>843</v>
      </c>
      <c r="G211" s="166" t="s">
        <v>35</v>
      </c>
      <c r="H211" s="166" t="s">
        <v>844</v>
      </c>
      <c r="I211" s="166" t="s">
        <v>35</v>
      </c>
      <c r="J211" s="166" t="s">
        <v>151</v>
      </c>
      <c r="K211" s="167">
        <v>43475</v>
      </c>
      <c r="L211" s="170" t="s">
        <v>1120</v>
      </c>
      <c r="M211" s="170"/>
      <c r="N211" s="72" t="s">
        <v>27</v>
      </c>
      <c r="O211" s="72"/>
    </row>
    <row r="212" spans="1:15">
      <c r="A212" s="168" t="s">
        <v>246</v>
      </c>
      <c r="B212" s="72">
        <v>10</v>
      </c>
      <c r="C212" s="72" t="s">
        <v>244</v>
      </c>
      <c r="D212" s="72" t="s">
        <v>247</v>
      </c>
      <c r="E212" s="166" t="s">
        <v>15</v>
      </c>
      <c r="F212" s="166" t="s">
        <v>14</v>
      </c>
      <c r="G212" s="166" t="s">
        <v>35</v>
      </c>
      <c r="H212" s="166" t="s">
        <v>15</v>
      </c>
      <c r="I212" s="166" t="s">
        <v>35</v>
      </c>
      <c r="J212" s="166"/>
      <c r="K212" s="167">
        <v>43475</v>
      </c>
      <c r="L212" s="170" t="s">
        <v>15</v>
      </c>
      <c r="M212" s="170"/>
      <c r="N212" s="72" t="s">
        <v>27</v>
      </c>
      <c r="O212" s="72"/>
    </row>
    <row r="213" spans="1:15" outlineLevel="1">
      <c r="A213" s="27" t="s">
        <v>246</v>
      </c>
      <c r="B213" s="27">
        <v>1</v>
      </c>
      <c r="C213" s="27" t="s">
        <v>244</v>
      </c>
      <c r="D213" s="27" t="s">
        <v>247</v>
      </c>
      <c r="E213" s="31" t="s">
        <v>613</v>
      </c>
      <c r="F213" s="31" t="s">
        <v>614</v>
      </c>
      <c r="G213" s="26" t="s">
        <v>35</v>
      </c>
      <c r="H213" s="26" t="s">
        <v>615</v>
      </c>
      <c r="I213" s="26" t="s">
        <v>548</v>
      </c>
      <c r="J213" s="26" t="s">
        <v>25</v>
      </c>
      <c r="K213" s="33">
        <v>43475</v>
      </c>
      <c r="L213" s="30" t="s">
        <v>1139</v>
      </c>
      <c r="M213" s="30"/>
      <c r="N213" s="27" t="s">
        <v>27</v>
      </c>
      <c r="O213" s="27"/>
    </row>
    <row r="214" spans="1:15" outlineLevel="1">
      <c r="A214" s="27" t="s">
        <v>246</v>
      </c>
      <c r="B214" s="27">
        <v>1</v>
      </c>
      <c r="C214" s="27" t="s">
        <v>244</v>
      </c>
      <c r="D214" s="27" t="s">
        <v>247</v>
      </c>
      <c r="E214" s="31" t="s">
        <v>616</v>
      </c>
      <c r="F214" s="31" t="s">
        <v>617</v>
      </c>
      <c r="G214" s="26" t="s">
        <v>35</v>
      </c>
      <c r="H214" s="26" t="s">
        <v>618</v>
      </c>
      <c r="I214" s="26" t="s">
        <v>548</v>
      </c>
      <c r="J214" s="26" t="s">
        <v>25</v>
      </c>
      <c r="K214" s="33">
        <v>43475</v>
      </c>
      <c r="L214" s="30" t="s">
        <v>1139</v>
      </c>
      <c r="M214" s="30"/>
      <c r="N214" s="27" t="s">
        <v>27</v>
      </c>
      <c r="O214" s="27"/>
    </row>
    <row r="215" spans="1:15" outlineLevel="1">
      <c r="A215" s="27" t="s">
        <v>246</v>
      </c>
      <c r="B215" s="27">
        <v>1</v>
      </c>
      <c r="C215" s="27" t="s">
        <v>244</v>
      </c>
      <c r="D215" s="27" t="s">
        <v>247</v>
      </c>
      <c r="E215" s="31" t="s">
        <v>620</v>
      </c>
      <c r="F215" s="31" t="s">
        <v>621</v>
      </c>
      <c r="G215" s="26" t="s">
        <v>35</v>
      </c>
      <c r="H215" s="26" t="s">
        <v>622</v>
      </c>
      <c r="I215" s="26" t="s">
        <v>548</v>
      </c>
      <c r="J215" s="26" t="s">
        <v>25</v>
      </c>
      <c r="K215" s="33">
        <v>43475</v>
      </c>
      <c r="L215" s="30" t="s">
        <v>1139</v>
      </c>
      <c r="M215" s="30"/>
      <c r="N215" s="27" t="s">
        <v>27</v>
      </c>
      <c r="O215" s="27"/>
    </row>
    <row r="216" spans="1:15" outlineLevel="1">
      <c r="A216" s="27" t="s">
        <v>246</v>
      </c>
      <c r="B216" s="27">
        <v>1</v>
      </c>
      <c r="C216" s="27" t="s">
        <v>244</v>
      </c>
      <c r="D216" s="27" t="s">
        <v>247</v>
      </c>
      <c r="E216" s="31" t="s">
        <v>623</v>
      </c>
      <c r="F216" s="31" t="s">
        <v>624</v>
      </c>
      <c r="G216" s="26" t="s">
        <v>35</v>
      </c>
      <c r="H216" s="26" t="s">
        <v>625</v>
      </c>
      <c r="I216" s="26" t="s">
        <v>548</v>
      </c>
      <c r="J216" s="26" t="s">
        <v>25</v>
      </c>
      <c r="K216" s="33">
        <v>43475</v>
      </c>
      <c r="L216" s="30" t="s">
        <v>626</v>
      </c>
      <c r="M216" s="30"/>
      <c r="N216" s="27" t="s">
        <v>27</v>
      </c>
      <c r="O216" s="27"/>
    </row>
    <row r="217" spans="1:15" outlineLevel="1">
      <c r="A217" s="27" t="s">
        <v>246</v>
      </c>
      <c r="B217" s="27">
        <v>1</v>
      </c>
      <c r="C217" s="27" t="s">
        <v>244</v>
      </c>
      <c r="D217" s="27" t="s">
        <v>247</v>
      </c>
      <c r="E217" s="31" t="s">
        <v>627</v>
      </c>
      <c r="F217" s="31" t="s">
        <v>628</v>
      </c>
      <c r="G217" s="26" t="s">
        <v>35</v>
      </c>
      <c r="H217" s="26" t="s">
        <v>629</v>
      </c>
      <c r="I217" s="26" t="s">
        <v>548</v>
      </c>
      <c r="J217" s="26" t="s">
        <v>25</v>
      </c>
      <c r="K217" s="33">
        <v>43475</v>
      </c>
      <c r="L217" s="30" t="s">
        <v>626</v>
      </c>
      <c r="M217" s="30"/>
      <c r="N217" s="27" t="s">
        <v>27</v>
      </c>
      <c r="O217" s="27"/>
    </row>
    <row r="218" spans="1:15" outlineLevel="1">
      <c r="A218" s="27" t="s">
        <v>246</v>
      </c>
      <c r="B218" s="27">
        <v>1</v>
      </c>
      <c r="C218" s="27" t="s">
        <v>244</v>
      </c>
      <c r="D218" s="27" t="s">
        <v>247</v>
      </c>
      <c r="E218" s="31" t="s">
        <v>630</v>
      </c>
      <c r="F218" s="31" t="s">
        <v>631</v>
      </c>
      <c r="G218" s="26" t="s">
        <v>35</v>
      </c>
      <c r="H218" s="26" t="s">
        <v>632</v>
      </c>
      <c r="I218" s="26" t="s">
        <v>548</v>
      </c>
      <c r="J218" s="26" t="s">
        <v>25</v>
      </c>
      <c r="K218" s="33">
        <v>43475</v>
      </c>
      <c r="L218" s="30" t="s">
        <v>626</v>
      </c>
      <c r="M218" s="30"/>
      <c r="N218" s="27" t="s">
        <v>27</v>
      </c>
      <c r="O218" s="27"/>
    </row>
    <row r="219" spans="1:15" outlineLevel="1">
      <c r="A219" s="27" t="s">
        <v>246</v>
      </c>
      <c r="B219" s="27">
        <v>1</v>
      </c>
      <c r="C219" s="27" t="s">
        <v>244</v>
      </c>
      <c r="D219" s="27" t="s">
        <v>247</v>
      </c>
      <c r="E219" s="31" t="s">
        <v>633</v>
      </c>
      <c r="F219" s="31" t="s">
        <v>634</v>
      </c>
      <c r="G219" s="26" t="s">
        <v>35</v>
      </c>
      <c r="H219" s="26" t="s">
        <v>635</v>
      </c>
      <c r="I219" s="26" t="s">
        <v>548</v>
      </c>
      <c r="J219" s="26" t="s">
        <v>25</v>
      </c>
      <c r="K219" s="33">
        <v>43475</v>
      </c>
      <c r="L219" s="30" t="s">
        <v>1139</v>
      </c>
      <c r="M219" s="30"/>
      <c r="N219" s="27" t="s">
        <v>27</v>
      </c>
      <c r="O219" s="27"/>
    </row>
    <row r="220" spans="1:15" outlineLevel="1">
      <c r="A220" s="27" t="s">
        <v>246</v>
      </c>
      <c r="B220" s="27">
        <v>1</v>
      </c>
      <c r="C220" s="27" t="s">
        <v>244</v>
      </c>
      <c r="D220" s="27" t="s">
        <v>247</v>
      </c>
      <c r="E220" s="31" t="s">
        <v>636</v>
      </c>
      <c r="F220" s="31" t="s">
        <v>637</v>
      </c>
      <c r="G220" s="26" t="s">
        <v>35</v>
      </c>
      <c r="H220" s="26" t="s">
        <v>638</v>
      </c>
      <c r="I220" s="26" t="s">
        <v>548</v>
      </c>
      <c r="J220" s="26" t="s">
        <v>25</v>
      </c>
      <c r="K220" s="33">
        <v>43475</v>
      </c>
      <c r="L220" s="30" t="s">
        <v>1139</v>
      </c>
      <c r="M220" s="30"/>
      <c r="N220" s="27" t="s">
        <v>27</v>
      </c>
      <c r="O220" s="27"/>
    </row>
    <row r="221" spans="1:15" outlineLevel="1">
      <c r="A221" s="27" t="s">
        <v>246</v>
      </c>
      <c r="B221" s="27">
        <v>1</v>
      </c>
      <c r="C221" s="27" t="s">
        <v>244</v>
      </c>
      <c r="D221" s="27" t="s">
        <v>247</v>
      </c>
      <c r="E221" s="31" t="s">
        <v>639</v>
      </c>
      <c r="F221" s="31" t="s">
        <v>640</v>
      </c>
      <c r="G221" s="26" t="s">
        <v>35</v>
      </c>
      <c r="H221" s="26" t="s">
        <v>641</v>
      </c>
      <c r="I221" s="26" t="s">
        <v>548</v>
      </c>
      <c r="J221" s="26" t="s">
        <v>25</v>
      </c>
      <c r="K221" s="33">
        <v>43475</v>
      </c>
      <c r="L221" s="30" t="s">
        <v>1139</v>
      </c>
      <c r="M221" s="30"/>
      <c r="N221" s="27" t="s">
        <v>27</v>
      </c>
      <c r="O221" s="27"/>
    </row>
    <row r="222" spans="1:15" outlineLevel="1">
      <c r="A222" s="27" t="s">
        <v>246</v>
      </c>
      <c r="B222" s="27">
        <v>1</v>
      </c>
      <c r="C222" s="27" t="s">
        <v>244</v>
      </c>
      <c r="D222" s="27" t="s">
        <v>247</v>
      </c>
      <c r="E222" s="31" t="s">
        <v>642</v>
      </c>
      <c r="F222" s="31" t="s">
        <v>643</v>
      </c>
      <c r="G222" s="26" t="s">
        <v>35</v>
      </c>
      <c r="H222" s="26" t="s">
        <v>644</v>
      </c>
      <c r="I222" s="26" t="s">
        <v>548</v>
      </c>
      <c r="J222" s="26" t="s">
        <v>25</v>
      </c>
      <c r="K222" s="33">
        <v>43475</v>
      </c>
      <c r="L222" s="30" t="s">
        <v>1139</v>
      </c>
      <c r="M222" s="30"/>
      <c r="N222" s="27" t="s">
        <v>27</v>
      </c>
      <c r="O222" s="27"/>
    </row>
    <row r="223" spans="1:15">
      <c r="A223" s="168" t="s">
        <v>645</v>
      </c>
      <c r="B223" s="72">
        <v>120</v>
      </c>
      <c r="C223" s="72" t="s">
        <v>35</v>
      </c>
      <c r="D223" s="72" t="s">
        <v>35</v>
      </c>
      <c r="E223" s="166" t="s">
        <v>15</v>
      </c>
      <c r="F223" s="166" t="s">
        <v>14</v>
      </c>
      <c r="G223" s="166" t="s">
        <v>35</v>
      </c>
      <c r="H223" s="166" t="s">
        <v>35</v>
      </c>
      <c r="I223" s="166" t="s">
        <v>35</v>
      </c>
      <c r="J223" s="166" t="s">
        <v>25</v>
      </c>
      <c r="K223" s="167">
        <v>43475</v>
      </c>
      <c r="L223" s="170" t="s">
        <v>596</v>
      </c>
      <c r="M223" s="170"/>
      <c r="N223" s="72" t="s">
        <v>27</v>
      </c>
      <c r="O223" s="72"/>
    </row>
    <row r="224" spans="1:15">
      <c r="A224" s="168" t="s">
        <v>701</v>
      </c>
      <c r="B224" s="72">
        <v>3</v>
      </c>
      <c r="C224" s="72" t="s">
        <v>702</v>
      </c>
      <c r="D224" s="72" t="s">
        <v>703</v>
      </c>
      <c r="E224" s="166" t="s">
        <v>15</v>
      </c>
      <c r="F224" s="166" t="s">
        <v>14</v>
      </c>
      <c r="G224" s="166" t="s">
        <v>704</v>
      </c>
      <c r="H224" s="166" t="s">
        <v>15</v>
      </c>
      <c r="I224" s="166" t="s">
        <v>35</v>
      </c>
      <c r="J224" s="166"/>
      <c r="K224" s="167"/>
      <c r="L224" s="170" t="s">
        <v>38</v>
      </c>
      <c r="M224" s="170"/>
      <c r="N224" s="72" t="s">
        <v>27</v>
      </c>
      <c r="O224" s="72"/>
    </row>
    <row r="225" spans="1:15" outlineLevel="1">
      <c r="A225" s="27" t="s">
        <v>701</v>
      </c>
      <c r="B225" s="27">
        <v>1</v>
      </c>
      <c r="C225" s="27" t="s">
        <v>702</v>
      </c>
      <c r="D225" s="27" t="s">
        <v>703</v>
      </c>
      <c r="E225" s="26" t="s">
        <v>845</v>
      </c>
      <c r="F225" s="26" t="s">
        <v>846</v>
      </c>
      <c r="G225" s="26" t="s">
        <v>704</v>
      </c>
      <c r="H225" s="26" t="s">
        <v>847</v>
      </c>
      <c r="I225" s="26" t="s">
        <v>35</v>
      </c>
      <c r="J225" s="26" t="s">
        <v>38</v>
      </c>
      <c r="K225" s="33"/>
      <c r="L225" s="26" t="s">
        <v>117</v>
      </c>
      <c r="M225" s="30"/>
      <c r="N225" s="27" t="s">
        <v>27</v>
      </c>
      <c r="O225" s="27"/>
    </row>
    <row r="226" spans="1:15" outlineLevel="1">
      <c r="A226" s="27" t="s">
        <v>701</v>
      </c>
      <c r="B226" s="27">
        <v>1</v>
      </c>
      <c r="C226" s="27" t="s">
        <v>702</v>
      </c>
      <c r="D226" s="27" t="s">
        <v>703</v>
      </c>
      <c r="E226" s="26" t="s">
        <v>848</v>
      </c>
      <c r="F226" s="26" t="s">
        <v>849</v>
      </c>
      <c r="G226" s="26" t="s">
        <v>704</v>
      </c>
      <c r="H226" s="26" t="s">
        <v>850</v>
      </c>
      <c r="I226" s="26" t="s">
        <v>35</v>
      </c>
      <c r="J226" s="26" t="s">
        <v>38</v>
      </c>
      <c r="K226" s="33"/>
      <c r="L226" s="30" t="s">
        <v>851</v>
      </c>
      <c r="M226" s="30"/>
      <c r="N226" s="27" t="s">
        <v>27</v>
      </c>
      <c r="O226" s="27"/>
    </row>
    <row r="227" spans="1:15" outlineLevel="1">
      <c r="A227" s="27" t="s">
        <v>701</v>
      </c>
      <c r="B227" s="27">
        <v>1</v>
      </c>
      <c r="C227" s="27" t="s">
        <v>702</v>
      </c>
      <c r="D227" s="27" t="s">
        <v>703</v>
      </c>
      <c r="E227" s="52"/>
      <c r="F227" s="52"/>
      <c r="G227" s="26" t="s">
        <v>1080</v>
      </c>
      <c r="H227" s="52"/>
      <c r="I227" s="26" t="s">
        <v>35</v>
      </c>
      <c r="J227" s="26" t="s">
        <v>38</v>
      </c>
      <c r="K227" s="33">
        <v>45532</v>
      </c>
      <c r="L227" s="30" t="s">
        <v>102</v>
      </c>
      <c r="M227" s="30"/>
      <c r="N227" s="27" t="s">
        <v>27</v>
      </c>
      <c r="O227" s="27"/>
    </row>
    <row r="228" spans="1:15">
      <c r="A228" s="168" t="s">
        <v>852</v>
      </c>
      <c r="B228" s="72">
        <v>1</v>
      </c>
      <c r="C228" s="72"/>
      <c r="D228" s="72" t="s">
        <v>35</v>
      </c>
      <c r="E228" s="166" t="s">
        <v>35</v>
      </c>
      <c r="F228" s="166" t="s">
        <v>101</v>
      </c>
      <c r="G228" s="166" t="s">
        <v>35</v>
      </c>
      <c r="H228" s="166" t="s">
        <v>35</v>
      </c>
      <c r="I228" s="166" t="s">
        <v>35</v>
      </c>
      <c r="J228" s="166" t="s">
        <v>25</v>
      </c>
      <c r="K228" s="167">
        <v>43475</v>
      </c>
      <c r="L228" s="170" t="s">
        <v>117</v>
      </c>
      <c r="M228" s="170"/>
      <c r="N228" s="72" t="s">
        <v>27</v>
      </c>
      <c r="O228" s="72"/>
    </row>
    <row r="229" spans="1:15">
      <c r="A229" s="168" t="s">
        <v>248</v>
      </c>
      <c r="B229" s="72">
        <v>4</v>
      </c>
      <c r="C229" s="72" t="s">
        <v>35</v>
      </c>
      <c r="D229" s="72" t="s">
        <v>35</v>
      </c>
      <c r="E229" s="166" t="s">
        <v>35</v>
      </c>
      <c r="F229" s="166" t="s">
        <v>101</v>
      </c>
      <c r="G229" s="166" t="s">
        <v>35</v>
      </c>
      <c r="H229" s="166" t="s">
        <v>35</v>
      </c>
      <c r="I229" s="166" t="s">
        <v>35</v>
      </c>
      <c r="J229" s="166" t="s">
        <v>25</v>
      </c>
      <c r="K229" s="167">
        <v>43475</v>
      </c>
      <c r="L229" s="170" t="s">
        <v>15</v>
      </c>
      <c r="M229" s="170"/>
      <c r="N229" s="72" t="s">
        <v>27</v>
      </c>
      <c r="O229" s="72"/>
    </row>
    <row r="230" spans="1:15">
      <c r="A230" s="168" t="s">
        <v>854</v>
      </c>
      <c r="B230" s="72">
        <v>4</v>
      </c>
      <c r="C230" s="72" t="s">
        <v>35</v>
      </c>
      <c r="D230" s="72" t="s">
        <v>35</v>
      </c>
      <c r="E230" s="166" t="s">
        <v>35</v>
      </c>
      <c r="F230" s="166" t="s">
        <v>101</v>
      </c>
      <c r="G230" s="166" t="s">
        <v>35</v>
      </c>
      <c r="H230" s="166" t="s">
        <v>35</v>
      </c>
      <c r="I230" s="166" t="s">
        <v>35</v>
      </c>
      <c r="J230" s="166" t="s">
        <v>25</v>
      </c>
      <c r="K230" s="167">
        <v>43475</v>
      </c>
      <c r="L230" s="170" t="s">
        <v>117</v>
      </c>
      <c r="M230" s="170"/>
      <c r="N230" s="72" t="s">
        <v>27</v>
      </c>
      <c r="O230" s="72"/>
    </row>
    <row r="231" spans="1:15">
      <c r="A231" s="168" t="s">
        <v>1140</v>
      </c>
      <c r="B231" s="72">
        <v>1</v>
      </c>
      <c r="C231" s="72" t="s">
        <v>334</v>
      </c>
      <c r="D231" s="72" t="s">
        <v>989</v>
      </c>
      <c r="E231" s="169" t="s">
        <v>990</v>
      </c>
      <c r="F231" s="169" t="s">
        <v>992</v>
      </c>
      <c r="G231" s="166" t="s">
        <v>991</v>
      </c>
      <c r="H231" s="166"/>
      <c r="I231" s="166" t="s">
        <v>35</v>
      </c>
      <c r="J231" s="166" t="s">
        <v>38</v>
      </c>
      <c r="K231" s="167">
        <v>44884</v>
      </c>
      <c r="L231" s="170" t="s">
        <v>1120</v>
      </c>
      <c r="M231" s="170"/>
      <c r="N231" s="72" t="s">
        <v>27</v>
      </c>
      <c r="O231" s="72"/>
    </row>
    <row r="232" spans="1:15">
      <c r="A232" s="168" t="s">
        <v>647</v>
      </c>
      <c r="B232" s="72">
        <v>35</v>
      </c>
      <c r="C232" s="72" t="s">
        <v>35</v>
      </c>
      <c r="D232" s="72" t="s">
        <v>35</v>
      </c>
      <c r="E232" s="166" t="s">
        <v>15</v>
      </c>
      <c r="F232" s="166" t="s">
        <v>14</v>
      </c>
      <c r="G232" s="166" t="s">
        <v>35</v>
      </c>
      <c r="H232" s="166" t="s">
        <v>35</v>
      </c>
      <c r="I232" s="166" t="s">
        <v>35</v>
      </c>
      <c r="J232" s="166" t="s">
        <v>25</v>
      </c>
      <c r="K232" s="167">
        <v>43475</v>
      </c>
      <c r="L232" s="170" t="s">
        <v>596</v>
      </c>
      <c r="M232" s="170"/>
      <c r="N232" s="72" t="s">
        <v>27</v>
      </c>
      <c r="O232" s="72"/>
    </row>
    <row r="233" spans="1:15">
      <c r="A233" s="168" t="s">
        <v>994</v>
      </c>
      <c r="B233" s="72">
        <v>4</v>
      </c>
      <c r="C233" s="72"/>
      <c r="D233" s="72"/>
      <c r="E233" s="169"/>
      <c r="F233" s="169" t="e">
        <f>#N/A</f>
        <v>#N/A</v>
      </c>
      <c r="G233" s="166"/>
      <c r="H233" s="166" t="s">
        <v>15</v>
      </c>
      <c r="I233" s="166"/>
      <c r="J233" s="166"/>
      <c r="K233" s="167"/>
      <c r="L233" s="170"/>
      <c r="M233" s="170"/>
      <c r="N233" s="72" t="s">
        <v>27</v>
      </c>
      <c r="O233" s="72"/>
    </row>
    <row r="234" spans="1:15" outlineLevel="1">
      <c r="A234" s="27" t="s">
        <v>995</v>
      </c>
      <c r="B234" s="27">
        <v>1</v>
      </c>
      <c r="C234" s="27" t="s">
        <v>19</v>
      </c>
      <c r="D234" s="27" t="s">
        <v>996</v>
      </c>
      <c r="E234" s="31" t="s">
        <v>997</v>
      </c>
      <c r="F234" s="31" t="s">
        <v>998</v>
      </c>
      <c r="G234" s="26" t="s">
        <v>22</v>
      </c>
      <c r="H234" s="26" t="s">
        <v>999</v>
      </c>
      <c r="I234" s="26"/>
      <c r="J234" s="26" t="s">
        <v>25</v>
      </c>
      <c r="K234" s="33">
        <v>44932</v>
      </c>
      <c r="L234" s="30" t="s">
        <v>1139</v>
      </c>
      <c r="M234" s="30"/>
      <c r="N234" s="27" t="s">
        <v>27</v>
      </c>
      <c r="O234" s="27"/>
    </row>
    <row r="235" spans="1:15" outlineLevel="1">
      <c r="A235" s="27" t="s">
        <v>1001</v>
      </c>
      <c r="B235" s="27">
        <v>1</v>
      </c>
      <c r="C235" s="27" t="s">
        <v>19</v>
      </c>
      <c r="D235" s="27" t="s">
        <v>1002</v>
      </c>
      <c r="E235" s="26" t="s">
        <v>1003</v>
      </c>
      <c r="F235" s="26" t="s">
        <v>1004</v>
      </c>
      <c r="G235" s="26" t="s">
        <v>22</v>
      </c>
      <c r="H235" s="26" t="s">
        <v>1005</v>
      </c>
      <c r="I235" s="26"/>
      <c r="J235" s="26" t="s">
        <v>25</v>
      </c>
      <c r="K235" s="33">
        <v>45279</v>
      </c>
      <c r="L235" s="30" t="s">
        <v>1000</v>
      </c>
      <c r="M235" s="30"/>
      <c r="N235" s="27" t="s">
        <v>27</v>
      </c>
      <c r="O235" s="27"/>
    </row>
    <row r="236" spans="1:15" outlineLevel="1">
      <c r="A236" s="27" t="s">
        <v>1006</v>
      </c>
      <c r="B236" s="27">
        <v>2</v>
      </c>
      <c r="C236" s="27" t="s">
        <v>19</v>
      </c>
      <c r="D236" s="27"/>
      <c r="E236" s="26" t="s">
        <v>35</v>
      </c>
      <c r="F236" s="26" t="s">
        <v>101</v>
      </c>
      <c r="G236" s="26" t="s">
        <v>22</v>
      </c>
      <c r="H236" s="26" t="s">
        <v>1141</v>
      </c>
      <c r="I236" s="26"/>
      <c r="J236" s="26" t="s">
        <v>25</v>
      </c>
      <c r="K236" s="33">
        <v>45279</v>
      </c>
      <c r="L236" s="30" t="s">
        <v>1000</v>
      </c>
      <c r="M236" s="30"/>
      <c r="N236" s="27" t="s">
        <v>27</v>
      </c>
      <c r="O236" s="27"/>
    </row>
    <row r="237" spans="1:15" outlineLevel="1">
      <c r="A237" s="27" t="s">
        <v>1009</v>
      </c>
      <c r="B237" s="27">
        <v>1</v>
      </c>
      <c r="C237" s="27" t="s">
        <v>19</v>
      </c>
      <c r="D237" s="27" t="s">
        <v>1010</v>
      </c>
      <c r="E237" s="26" t="s">
        <v>1011</v>
      </c>
      <c r="F237" s="26" t="s">
        <v>1012</v>
      </c>
      <c r="G237" s="26" t="s">
        <v>22</v>
      </c>
      <c r="H237" s="26"/>
      <c r="I237" s="26"/>
      <c r="J237" s="26" t="s">
        <v>25</v>
      </c>
      <c r="K237" s="33">
        <v>44932</v>
      </c>
      <c r="L237" s="30" t="s">
        <v>117</v>
      </c>
      <c r="M237" s="30"/>
      <c r="N237" s="27" t="s">
        <v>27</v>
      </c>
      <c r="O237" s="27"/>
    </row>
    <row r="238" spans="1:15">
      <c r="A238" s="168" t="s">
        <v>1013</v>
      </c>
      <c r="B238" s="72">
        <v>4</v>
      </c>
      <c r="C238" s="72" t="s">
        <v>35</v>
      </c>
      <c r="D238" s="72" t="s">
        <v>35</v>
      </c>
      <c r="E238" s="166" t="s">
        <v>35</v>
      </c>
      <c r="F238" s="166" t="s">
        <v>101</v>
      </c>
      <c r="G238" s="166"/>
      <c r="H238" s="166" t="s">
        <v>15</v>
      </c>
      <c r="I238" s="166"/>
      <c r="J238" s="166"/>
      <c r="K238" s="167">
        <v>43475</v>
      </c>
      <c r="L238" s="170"/>
      <c r="M238" s="170"/>
      <c r="N238" s="72" t="s">
        <v>27</v>
      </c>
      <c r="O238" s="72"/>
    </row>
    <row r="239" spans="1:15" outlineLevel="1">
      <c r="A239" s="27" t="s">
        <v>856</v>
      </c>
      <c r="B239" s="27">
        <v>1</v>
      </c>
      <c r="C239" s="27" t="s">
        <v>35</v>
      </c>
      <c r="D239" s="27" t="s">
        <v>35</v>
      </c>
      <c r="E239" s="26" t="s">
        <v>35</v>
      </c>
      <c r="F239" s="26" t="s">
        <v>101</v>
      </c>
      <c r="G239" s="26" t="s">
        <v>35</v>
      </c>
      <c r="H239" s="26" t="s">
        <v>858</v>
      </c>
      <c r="I239" s="26" t="s">
        <v>35</v>
      </c>
      <c r="J239" s="26" t="s">
        <v>25</v>
      </c>
      <c r="K239" s="33">
        <v>43475</v>
      </c>
      <c r="L239" s="30" t="s">
        <v>102</v>
      </c>
      <c r="M239" s="30"/>
      <c r="N239" s="27" t="s">
        <v>27</v>
      </c>
      <c r="O239" s="27"/>
    </row>
    <row r="240" spans="1:15" outlineLevel="1">
      <c r="A240" s="78" t="s">
        <v>856</v>
      </c>
      <c r="B240" s="78">
        <v>1</v>
      </c>
      <c r="C240" s="78" t="s">
        <v>35</v>
      </c>
      <c r="D240" s="78" t="s">
        <v>35</v>
      </c>
      <c r="E240" s="64" t="s">
        <v>35</v>
      </c>
      <c r="F240" s="64" t="s">
        <v>101</v>
      </c>
      <c r="G240" s="64" t="s">
        <v>35</v>
      </c>
      <c r="H240" s="26" t="s">
        <v>860</v>
      </c>
      <c r="I240" s="26" t="s">
        <v>35</v>
      </c>
      <c r="J240" s="26" t="s">
        <v>25</v>
      </c>
      <c r="K240" s="33">
        <v>43475</v>
      </c>
      <c r="L240" s="30" t="s">
        <v>102</v>
      </c>
      <c r="M240" s="30"/>
      <c r="N240" s="27" t="s">
        <v>27</v>
      </c>
      <c r="O240" s="27"/>
    </row>
    <row r="241" spans="1:15" outlineLevel="1">
      <c r="A241" s="27" t="s">
        <v>856</v>
      </c>
      <c r="B241" s="27">
        <v>1</v>
      </c>
      <c r="C241" s="27" t="s">
        <v>35</v>
      </c>
      <c r="D241" s="27" t="s">
        <v>35</v>
      </c>
      <c r="E241" s="26" t="s">
        <v>35</v>
      </c>
      <c r="F241" s="26" t="s">
        <v>101</v>
      </c>
      <c r="G241" s="26" t="s">
        <v>35</v>
      </c>
      <c r="H241" s="26" t="s">
        <v>862</v>
      </c>
      <c r="I241" s="26" t="s">
        <v>35</v>
      </c>
      <c r="J241" s="26" t="s">
        <v>25</v>
      </c>
      <c r="K241" s="33">
        <v>43475</v>
      </c>
      <c r="L241" s="30" t="s">
        <v>93</v>
      </c>
      <c r="M241" s="30"/>
      <c r="N241" s="27" t="s">
        <v>27</v>
      </c>
      <c r="O241" s="27" t="s">
        <v>1142</v>
      </c>
    </row>
    <row r="242" spans="1:15" outlineLevel="1">
      <c r="A242" s="27" t="s">
        <v>863</v>
      </c>
      <c r="B242" s="27">
        <v>1</v>
      </c>
      <c r="C242" s="27" t="s">
        <v>864</v>
      </c>
      <c r="D242" s="27" t="s">
        <v>865</v>
      </c>
      <c r="E242" s="26" t="s">
        <v>35</v>
      </c>
      <c r="F242" s="26" t="s">
        <v>101</v>
      </c>
      <c r="G242" s="26" t="s">
        <v>35</v>
      </c>
      <c r="H242" s="26" t="s">
        <v>867</v>
      </c>
      <c r="I242" s="26" t="s">
        <v>35</v>
      </c>
      <c r="J242" s="26" t="s">
        <v>25</v>
      </c>
      <c r="K242" s="33">
        <v>43880</v>
      </c>
      <c r="L242" s="30" t="s">
        <v>102</v>
      </c>
      <c r="M242" s="30"/>
      <c r="N242" s="27" t="s">
        <v>27</v>
      </c>
      <c r="O242" s="27"/>
    </row>
    <row r="243" spans="1:15">
      <c r="A243" s="168" t="s">
        <v>868</v>
      </c>
      <c r="B243" s="72">
        <v>1</v>
      </c>
      <c r="C243" s="72" t="s">
        <v>35</v>
      </c>
      <c r="D243" s="72" t="s">
        <v>35</v>
      </c>
      <c r="E243" s="166" t="s">
        <v>35</v>
      </c>
      <c r="F243" s="166" t="s">
        <v>101</v>
      </c>
      <c r="G243" s="166" t="s">
        <v>35</v>
      </c>
      <c r="H243" s="166" t="s">
        <v>35</v>
      </c>
      <c r="I243" s="166" t="s">
        <v>35</v>
      </c>
      <c r="J243" s="166" t="s">
        <v>38</v>
      </c>
      <c r="K243" s="167">
        <v>43475</v>
      </c>
      <c r="L243" s="170" t="s">
        <v>117</v>
      </c>
      <c r="M243" s="170"/>
      <c r="N243" s="72" t="s">
        <v>27</v>
      </c>
      <c r="O243" s="72"/>
    </row>
    <row r="244" spans="1:15">
      <c r="A244" s="168" t="s">
        <v>870</v>
      </c>
      <c r="B244" s="72">
        <v>6</v>
      </c>
      <c r="C244" s="72" t="s">
        <v>35</v>
      </c>
      <c r="D244" s="72" t="s">
        <v>35</v>
      </c>
      <c r="E244" s="166" t="s">
        <v>35</v>
      </c>
      <c r="F244" s="166" t="s">
        <v>101</v>
      </c>
      <c r="G244" s="166" t="s">
        <v>35</v>
      </c>
      <c r="H244" s="166" t="s">
        <v>35</v>
      </c>
      <c r="I244" s="166" t="s">
        <v>35</v>
      </c>
      <c r="J244" s="166" t="s">
        <v>38</v>
      </c>
      <c r="K244" s="167">
        <v>43475</v>
      </c>
      <c r="L244" s="170" t="s">
        <v>117</v>
      </c>
      <c r="M244" s="170"/>
      <c r="N244" s="72" t="s">
        <v>27</v>
      </c>
      <c r="O244" s="72"/>
    </row>
    <row r="245" spans="1:15">
      <c r="A245" s="168" t="s">
        <v>250</v>
      </c>
      <c r="B245" s="72">
        <v>2</v>
      </c>
      <c r="C245" s="72" t="s">
        <v>147</v>
      </c>
      <c r="D245" s="72" t="s">
        <v>872</v>
      </c>
      <c r="E245" s="166" t="s">
        <v>873</v>
      </c>
      <c r="F245" s="166" t="s">
        <v>875</v>
      </c>
      <c r="G245" s="166" t="s">
        <v>874</v>
      </c>
      <c r="H245" s="166" t="s">
        <v>876</v>
      </c>
      <c r="I245" s="166" t="s">
        <v>35</v>
      </c>
      <c r="J245" s="166" t="s">
        <v>38</v>
      </c>
      <c r="K245" s="167">
        <v>43872</v>
      </c>
      <c r="L245" s="170" t="s">
        <v>117</v>
      </c>
      <c r="M245" s="170"/>
      <c r="N245" s="72" t="s">
        <v>27</v>
      </c>
      <c r="O245" s="72"/>
    </row>
    <row r="246" spans="1:15">
      <c r="A246" s="168" t="s">
        <v>881</v>
      </c>
      <c r="B246" s="72">
        <v>1</v>
      </c>
      <c r="C246" s="72" t="s">
        <v>712</v>
      </c>
      <c r="D246" s="72" t="s">
        <v>882</v>
      </c>
      <c r="E246" s="166" t="s">
        <v>883</v>
      </c>
      <c r="F246" s="166" t="s">
        <v>884</v>
      </c>
      <c r="G246" s="166">
        <v>500204400623</v>
      </c>
      <c r="H246" s="166" t="s">
        <v>885</v>
      </c>
      <c r="I246" s="166" t="s">
        <v>35</v>
      </c>
      <c r="J246" s="166" t="s">
        <v>38</v>
      </c>
      <c r="K246" s="167">
        <v>43475</v>
      </c>
      <c r="L246" s="170" t="s">
        <v>1120</v>
      </c>
      <c r="M246" s="170"/>
      <c r="N246" s="72" t="s">
        <v>27</v>
      </c>
      <c r="O246" s="72"/>
    </row>
    <row r="247" spans="1:15">
      <c r="A247" s="168" t="s">
        <v>251</v>
      </c>
      <c r="B247" s="72">
        <v>2</v>
      </c>
      <c r="C247" s="72" t="s">
        <v>252</v>
      </c>
      <c r="D247" s="72" t="s">
        <v>253</v>
      </c>
      <c r="E247" s="166" t="s">
        <v>15</v>
      </c>
      <c r="F247" s="166" t="s">
        <v>14</v>
      </c>
      <c r="G247" s="166" t="s">
        <v>254</v>
      </c>
      <c r="H247" s="166" t="s">
        <v>15</v>
      </c>
      <c r="I247" s="166" t="s">
        <v>15</v>
      </c>
      <c r="J247" s="166"/>
      <c r="K247" s="167">
        <v>44226</v>
      </c>
      <c r="L247" s="166" t="s">
        <v>15</v>
      </c>
      <c r="M247" s="166"/>
      <c r="N247" s="72" t="s">
        <v>27</v>
      </c>
      <c r="O247" s="72"/>
    </row>
    <row r="248" spans="1:15" outlineLevel="1">
      <c r="A248" s="27" t="s">
        <v>251</v>
      </c>
      <c r="B248" s="27">
        <v>1</v>
      </c>
      <c r="C248" s="27" t="s">
        <v>252</v>
      </c>
      <c r="D248" s="27" t="s">
        <v>253</v>
      </c>
      <c r="E248" s="26">
        <v>4621120190055</v>
      </c>
      <c r="F248" s="26" t="s">
        <v>451</v>
      </c>
      <c r="G248" s="26" t="s">
        <v>35</v>
      </c>
      <c r="H248" s="26" t="s">
        <v>452</v>
      </c>
      <c r="I248" s="26" t="s">
        <v>35</v>
      </c>
      <c r="J248" s="26" t="s">
        <v>25</v>
      </c>
      <c r="K248" s="33"/>
      <c r="L248" s="30" t="s">
        <v>1120</v>
      </c>
      <c r="M248" s="30"/>
      <c r="N248" s="27" t="s">
        <v>27</v>
      </c>
      <c r="O248" s="27"/>
    </row>
    <row r="249" spans="1:15" outlineLevel="1">
      <c r="A249" s="27" t="s">
        <v>251</v>
      </c>
      <c r="B249" s="27">
        <v>1</v>
      </c>
      <c r="C249" s="27" t="s">
        <v>252</v>
      </c>
      <c r="D249" s="27" t="s">
        <v>253</v>
      </c>
      <c r="E249" s="26">
        <v>4621120190004</v>
      </c>
      <c r="F249" s="26" t="s">
        <v>454</v>
      </c>
      <c r="G249" s="26" t="s">
        <v>35</v>
      </c>
      <c r="H249" s="26" t="s">
        <v>455</v>
      </c>
      <c r="I249" s="26" t="s">
        <v>35</v>
      </c>
      <c r="J249" s="26" t="s">
        <v>25</v>
      </c>
      <c r="K249" s="33"/>
      <c r="L249" s="30" t="s">
        <v>1120</v>
      </c>
      <c r="M249" s="30"/>
      <c r="N249" s="27" t="s">
        <v>27</v>
      </c>
      <c r="O249" s="27"/>
    </row>
    <row r="250" spans="1:15">
      <c r="A250" s="168" t="s">
        <v>255</v>
      </c>
      <c r="B250" s="72">
        <v>2</v>
      </c>
      <c r="C250" s="72" t="s">
        <v>256</v>
      </c>
      <c r="D250" s="72" t="s">
        <v>257</v>
      </c>
      <c r="E250" s="166"/>
      <c r="F250" s="166" t="e">
        <f>#N/A</f>
        <v>#N/A</v>
      </c>
      <c r="G250" s="166"/>
      <c r="H250" s="166" t="s">
        <v>15</v>
      </c>
      <c r="I250" s="166"/>
      <c r="J250" s="166"/>
      <c r="K250" s="167"/>
      <c r="L250" s="170" t="s">
        <v>262</v>
      </c>
      <c r="M250" s="170"/>
      <c r="N250" s="72" t="s">
        <v>27</v>
      </c>
      <c r="O250" s="72"/>
    </row>
    <row r="251" spans="1:15" outlineLevel="1">
      <c r="A251" s="27" t="s">
        <v>255</v>
      </c>
      <c r="B251" s="27">
        <v>1</v>
      </c>
      <c r="C251" s="27" t="s">
        <v>256</v>
      </c>
      <c r="D251" s="27" t="s">
        <v>257</v>
      </c>
      <c r="E251" s="26" t="s">
        <v>258</v>
      </c>
      <c r="F251" s="26" t="s">
        <v>260</v>
      </c>
      <c r="G251" s="26"/>
      <c r="H251" s="26" t="s">
        <v>261</v>
      </c>
      <c r="I251" s="26"/>
      <c r="J251" s="26" t="s">
        <v>38</v>
      </c>
      <c r="K251" s="33"/>
      <c r="L251" s="30" t="s">
        <v>262</v>
      </c>
      <c r="M251" s="30"/>
      <c r="N251" s="27" t="s">
        <v>27</v>
      </c>
      <c r="O251" s="27"/>
    </row>
    <row r="252" spans="1:15" outlineLevel="1">
      <c r="A252" s="27" t="s">
        <v>255</v>
      </c>
      <c r="B252" s="27">
        <v>1</v>
      </c>
      <c r="C252" s="27" t="s">
        <v>256</v>
      </c>
      <c r="D252" s="27" t="s">
        <v>257</v>
      </c>
      <c r="E252" s="26" t="s">
        <v>263</v>
      </c>
      <c r="F252" s="26" t="s">
        <v>264</v>
      </c>
      <c r="G252" s="26"/>
      <c r="H252" s="26" t="s">
        <v>265</v>
      </c>
      <c r="I252" s="26"/>
      <c r="J252" s="26" t="s">
        <v>38</v>
      </c>
      <c r="K252" s="33"/>
      <c r="L252" s="30" t="s">
        <v>262</v>
      </c>
      <c r="M252" s="30"/>
      <c r="N252" s="27" t="s">
        <v>27</v>
      </c>
      <c r="O252" s="27"/>
    </row>
    <row r="253" spans="1:15">
      <c r="A253" s="168" t="s">
        <v>266</v>
      </c>
      <c r="B253" s="72">
        <v>1</v>
      </c>
      <c r="C253" s="72" t="s">
        <v>35</v>
      </c>
      <c r="D253" s="72" t="s">
        <v>267</v>
      </c>
      <c r="E253" s="166" t="s">
        <v>35</v>
      </c>
      <c r="F253" s="166" t="s">
        <v>101</v>
      </c>
      <c r="G253" s="166">
        <v>500204400644</v>
      </c>
      <c r="H253" s="166" t="s">
        <v>269</v>
      </c>
      <c r="I253" s="166">
        <v>3476747</v>
      </c>
      <c r="J253" s="166" t="s">
        <v>25</v>
      </c>
      <c r="K253" s="167">
        <v>43475</v>
      </c>
      <c r="L253" s="170" t="s">
        <v>15</v>
      </c>
      <c r="M253" s="170"/>
      <c r="N253" s="72" t="s">
        <v>27</v>
      </c>
      <c r="O253" s="72"/>
    </row>
    <row r="254" spans="1:15">
      <c r="A254" s="168" t="s">
        <v>270</v>
      </c>
      <c r="B254" s="72">
        <v>3</v>
      </c>
      <c r="C254" s="72" t="s">
        <v>271</v>
      </c>
      <c r="D254" s="72" t="s">
        <v>272</v>
      </c>
      <c r="E254" s="166" t="s">
        <v>15</v>
      </c>
      <c r="F254" s="166" t="s">
        <v>14</v>
      </c>
      <c r="G254" s="166" t="s">
        <v>273</v>
      </c>
      <c r="H254" s="166" t="s">
        <v>15</v>
      </c>
      <c r="I254" s="166" t="s">
        <v>15</v>
      </c>
      <c r="J254" s="166"/>
      <c r="K254" s="167">
        <v>44530</v>
      </c>
      <c r="L254" s="170" t="s">
        <v>15</v>
      </c>
      <c r="M254" s="170"/>
      <c r="N254" s="72" t="s">
        <v>27</v>
      </c>
      <c r="O254" s="72"/>
    </row>
    <row r="255" spans="1:15" outlineLevel="1">
      <c r="A255" s="27" t="s">
        <v>270</v>
      </c>
      <c r="B255" s="27">
        <v>1</v>
      </c>
      <c r="C255" s="27" t="s">
        <v>271</v>
      </c>
      <c r="D255" s="27" t="s">
        <v>274</v>
      </c>
      <c r="E255" s="26">
        <v>107432657</v>
      </c>
      <c r="F255" s="26" t="s">
        <v>275</v>
      </c>
      <c r="G255" s="26" t="s">
        <v>273</v>
      </c>
      <c r="H255" s="26" t="s">
        <v>276</v>
      </c>
      <c r="I255" s="26" t="s">
        <v>35</v>
      </c>
      <c r="J255" s="26" t="s">
        <v>25</v>
      </c>
      <c r="K255" s="33">
        <v>44530</v>
      </c>
      <c r="L255" s="30" t="s">
        <v>102</v>
      </c>
      <c r="M255" s="30"/>
      <c r="N255" s="27" t="s">
        <v>27</v>
      </c>
      <c r="O255" s="27"/>
    </row>
    <row r="256" spans="1:15" outlineLevel="1">
      <c r="A256" s="27" t="s">
        <v>270</v>
      </c>
      <c r="B256" s="27">
        <v>1</v>
      </c>
      <c r="C256" s="27" t="s">
        <v>271</v>
      </c>
      <c r="D256" s="27" t="s">
        <v>274</v>
      </c>
      <c r="E256" s="31" t="s">
        <v>277</v>
      </c>
      <c r="F256" s="31" t="s">
        <v>278</v>
      </c>
      <c r="G256" s="26" t="s">
        <v>273</v>
      </c>
      <c r="H256" s="26" t="s">
        <v>279</v>
      </c>
      <c r="I256" s="26" t="s">
        <v>35</v>
      </c>
      <c r="J256" s="26" t="s">
        <v>25</v>
      </c>
      <c r="K256" s="33">
        <v>44530</v>
      </c>
      <c r="L256" s="30" t="s">
        <v>280</v>
      </c>
      <c r="M256" s="30"/>
      <c r="N256" s="27" t="s">
        <v>27</v>
      </c>
      <c r="O256" s="27"/>
    </row>
    <row r="257" spans="1:15" outlineLevel="1">
      <c r="A257" s="27" t="s">
        <v>270</v>
      </c>
      <c r="B257" s="27">
        <v>1</v>
      </c>
      <c r="C257" s="27" t="s">
        <v>271</v>
      </c>
      <c r="D257" s="27" t="s">
        <v>274</v>
      </c>
      <c r="E257" s="31" t="s">
        <v>281</v>
      </c>
      <c r="F257" s="31" t="s">
        <v>282</v>
      </c>
      <c r="G257" s="26" t="s">
        <v>273</v>
      </c>
      <c r="H257" s="26" t="s">
        <v>283</v>
      </c>
      <c r="I257" s="26" t="s">
        <v>35</v>
      </c>
      <c r="J257" s="26" t="s">
        <v>25</v>
      </c>
      <c r="K257" s="33">
        <v>44530</v>
      </c>
      <c r="L257" s="30" t="s">
        <v>90</v>
      </c>
      <c r="M257" s="30"/>
      <c r="N257" s="27" t="s">
        <v>27</v>
      </c>
      <c r="O257" s="27"/>
    </row>
    <row r="258" spans="1:15">
      <c r="A258" s="168" t="s">
        <v>284</v>
      </c>
      <c r="B258" s="72">
        <v>5</v>
      </c>
      <c r="C258" s="72" t="s">
        <v>285</v>
      </c>
      <c r="D258" s="72" t="s">
        <v>286</v>
      </c>
      <c r="E258" s="169" t="s">
        <v>15</v>
      </c>
      <c r="F258" s="169" t="s">
        <v>14</v>
      </c>
      <c r="G258" s="169" t="s">
        <v>15</v>
      </c>
      <c r="H258" s="166" t="s">
        <v>15</v>
      </c>
      <c r="I258" s="166"/>
      <c r="J258" s="166"/>
      <c r="K258" s="167"/>
      <c r="L258" s="169" t="s">
        <v>15</v>
      </c>
      <c r="M258" s="169"/>
      <c r="N258" s="72" t="s">
        <v>27</v>
      </c>
      <c r="O258" s="72"/>
    </row>
    <row r="259" spans="1:15" outlineLevel="1">
      <c r="A259" s="27" t="s">
        <v>284</v>
      </c>
      <c r="B259" s="27">
        <v>1</v>
      </c>
      <c r="C259" s="27" t="s">
        <v>285</v>
      </c>
      <c r="D259" s="27" t="s">
        <v>286</v>
      </c>
      <c r="E259" s="31" t="s">
        <v>886</v>
      </c>
      <c r="F259" s="31" t="s">
        <v>888</v>
      </c>
      <c r="G259" s="26" t="s">
        <v>887</v>
      </c>
      <c r="H259" s="26" t="s">
        <v>889</v>
      </c>
      <c r="I259" s="26"/>
      <c r="J259" s="26" t="s">
        <v>25</v>
      </c>
      <c r="K259" s="33"/>
      <c r="L259" s="30" t="s">
        <v>78</v>
      </c>
      <c r="M259" s="30"/>
      <c r="N259" s="27" t="s">
        <v>27</v>
      </c>
      <c r="O259" s="27"/>
    </row>
    <row r="260" spans="1:15" outlineLevel="1">
      <c r="A260" s="27" t="s">
        <v>284</v>
      </c>
      <c r="B260" s="27">
        <v>1</v>
      </c>
      <c r="C260" s="27" t="s">
        <v>285</v>
      </c>
      <c r="D260" s="27" t="s">
        <v>286</v>
      </c>
      <c r="E260" s="31" t="s">
        <v>890</v>
      </c>
      <c r="F260" s="31" t="s">
        <v>891</v>
      </c>
      <c r="G260" s="26" t="s">
        <v>887</v>
      </c>
      <c r="H260" s="26" t="s">
        <v>892</v>
      </c>
      <c r="I260" s="26"/>
      <c r="J260" s="26" t="s">
        <v>25</v>
      </c>
      <c r="K260" s="33"/>
      <c r="L260" s="30" t="s">
        <v>893</v>
      </c>
      <c r="M260" s="30"/>
      <c r="N260" s="27" t="s">
        <v>27</v>
      </c>
      <c r="O260" s="27"/>
    </row>
    <row r="261" spans="1:15" outlineLevel="1">
      <c r="A261" s="27" t="s">
        <v>284</v>
      </c>
      <c r="B261" s="27">
        <v>1</v>
      </c>
      <c r="C261" s="27" t="s">
        <v>285</v>
      </c>
      <c r="D261" s="27" t="s">
        <v>894</v>
      </c>
      <c r="E261" s="31" t="s">
        <v>895</v>
      </c>
      <c r="F261" s="31" t="s">
        <v>897</v>
      </c>
      <c r="G261" s="26" t="s">
        <v>896</v>
      </c>
      <c r="H261" s="26" t="s">
        <v>898</v>
      </c>
      <c r="I261" s="26"/>
      <c r="J261" s="26" t="s">
        <v>25</v>
      </c>
      <c r="K261" s="33"/>
      <c r="L261" s="30" t="s">
        <v>78</v>
      </c>
      <c r="M261" s="30"/>
      <c r="N261" s="27" t="s">
        <v>27</v>
      </c>
      <c r="O261" s="27"/>
    </row>
    <row r="262" spans="1:15" outlineLevel="1">
      <c r="A262" s="27" t="s">
        <v>284</v>
      </c>
      <c r="B262" s="27">
        <v>1</v>
      </c>
      <c r="C262" s="27" t="s">
        <v>285</v>
      </c>
      <c r="D262" s="27" t="s">
        <v>894</v>
      </c>
      <c r="E262" s="31" t="s">
        <v>899</v>
      </c>
      <c r="F262" s="31" t="s">
        <v>900</v>
      </c>
      <c r="G262" s="26" t="s">
        <v>896</v>
      </c>
      <c r="H262" s="26" t="s">
        <v>901</v>
      </c>
      <c r="I262" s="26"/>
      <c r="J262" s="26" t="s">
        <v>25</v>
      </c>
      <c r="K262" s="33"/>
      <c r="L262" s="30" t="s">
        <v>78</v>
      </c>
      <c r="M262" s="30"/>
      <c r="N262" s="27" t="s">
        <v>27</v>
      </c>
      <c r="O262" s="27"/>
    </row>
    <row r="263" spans="1:15" outlineLevel="1">
      <c r="A263" s="27" t="s">
        <v>284</v>
      </c>
      <c r="B263" s="27">
        <v>1</v>
      </c>
      <c r="C263" s="27" t="s">
        <v>285</v>
      </c>
      <c r="D263" s="27" t="s">
        <v>894</v>
      </c>
      <c r="E263" s="31" t="s">
        <v>902</v>
      </c>
      <c r="F263" s="31" t="s">
        <v>903</v>
      </c>
      <c r="G263" s="26" t="s">
        <v>896</v>
      </c>
      <c r="H263" s="26" t="s">
        <v>904</v>
      </c>
      <c r="I263" s="26"/>
      <c r="J263" s="26" t="s">
        <v>25</v>
      </c>
      <c r="K263" s="33"/>
      <c r="L263" s="30" t="s">
        <v>78</v>
      </c>
      <c r="M263" s="30"/>
      <c r="N263" s="27" t="s">
        <v>27</v>
      </c>
      <c r="O263" s="27"/>
    </row>
    <row r="264" spans="1:15">
      <c r="A264" s="186" t="s">
        <v>1143</v>
      </c>
      <c r="B264" s="171">
        <v>1</v>
      </c>
      <c r="C264" s="171" t="s">
        <v>716</v>
      </c>
      <c r="D264" s="187" t="s">
        <v>906</v>
      </c>
      <c r="E264" s="166"/>
      <c r="F264" s="166" t="e">
        <f>#N/A</f>
        <v>#N/A</v>
      </c>
      <c r="G264" s="166" t="s">
        <v>907</v>
      </c>
      <c r="H264" s="166" t="s">
        <v>35</v>
      </c>
      <c r="I264" s="166" t="s">
        <v>35</v>
      </c>
      <c r="J264" s="166" t="s">
        <v>38</v>
      </c>
      <c r="K264" s="167">
        <v>44007</v>
      </c>
      <c r="L264" s="170" t="s">
        <v>117</v>
      </c>
      <c r="M264" s="170"/>
      <c r="N264" s="72" t="s">
        <v>27</v>
      </c>
      <c r="O264" s="72"/>
    </row>
    <row r="265" spans="1:15">
      <c r="A265" s="168" t="s">
        <v>1144</v>
      </c>
      <c r="B265" s="72">
        <v>1</v>
      </c>
      <c r="C265" s="72" t="s">
        <v>716</v>
      </c>
      <c r="D265" s="72" t="s">
        <v>1145</v>
      </c>
      <c r="E265" s="166" t="s">
        <v>35</v>
      </c>
      <c r="F265" s="166" t="s">
        <v>101</v>
      </c>
      <c r="G265" s="166" t="s">
        <v>1146</v>
      </c>
      <c r="H265" s="166" t="s">
        <v>35</v>
      </c>
      <c r="I265" s="166" t="s">
        <v>15</v>
      </c>
      <c r="J265" s="166" t="s">
        <v>38</v>
      </c>
      <c r="K265" s="167">
        <v>44007</v>
      </c>
      <c r="L265" s="170" t="s">
        <v>117</v>
      </c>
      <c r="M265" s="170"/>
      <c r="N265" s="72" t="s">
        <v>27</v>
      </c>
      <c r="O265" s="72"/>
    </row>
    <row r="266" spans="1:15">
      <c r="A266" s="168" t="s">
        <v>287</v>
      </c>
      <c r="B266" s="72">
        <v>2</v>
      </c>
      <c r="C266" s="72" t="s">
        <v>288</v>
      </c>
      <c r="D266" s="72" t="s">
        <v>289</v>
      </c>
      <c r="E266" s="166" t="s">
        <v>15</v>
      </c>
      <c r="F266" s="166" t="s">
        <v>14</v>
      </c>
      <c r="G266" s="166"/>
      <c r="H266" s="166" t="s">
        <v>15</v>
      </c>
      <c r="I266" s="166" t="s">
        <v>15</v>
      </c>
      <c r="J266" s="166"/>
      <c r="K266" s="167">
        <v>44634</v>
      </c>
      <c r="L266" s="170" t="s">
        <v>15</v>
      </c>
      <c r="M266" s="170"/>
      <c r="N266" s="72" t="s">
        <v>27</v>
      </c>
      <c r="O266" s="72"/>
    </row>
    <row r="267" spans="1:15" outlineLevel="1">
      <c r="A267" s="27" t="s">
        <v>382</v>
      </c>
      <c r="B267" s="27">
        <v>1</v>
      </c>
      <c r="C267" s="27" t="s">
        <v>288</v>
      </c>
      <c r="D267" s="27" t="s">
        <v>289</v>
      </c>
      <c r="E267" s="26" t="s">
        <v>35</v>
      </c>
      <c r="F267" s="26" t="s">
        <v>101</v>
      </c>
      <c r="G267" s="26"/>
      <c r="H267" s="26" t="s">
        <v>384</v>
      </c>
      <c r="I267" s="26" t="s">
        <v>35</v>
      </c>
      <c r="J267" s="26" t="s">
        <v>25</v>
      </c>
      <c r="K267" s="33"/>
      <c r="L267" s="30" t="s">
        <v>26</v>
      </c>
      <c r="M267" s="30"/>
      <c r="N267" s="27" t="s">
        <v>27</v>
      </c>
      <c r="O267" s="27"/>
    </row>
    <row r="268" spans="1:15" outlineLevel="1">
      <c r="A268" s="27" t="s">
        <v>382</v>
      </c>
      <c r="B268" s="27">
        <v>1</v>
      </c>
      <c r="C268" s="27" t="s">
        <v>288</v>
      </c>
      <c r="D268" s="27" t="s">
        <v>289</v>
      </c>
      <c r="E268" s="26" t="s">
        <v>35</v>
      </c>
      <c r="F268" s="26" t="s">
        <v>101</v>
      </c>
      <c r="G268" s="26"/>
      <c r="H268" s="26" t="s">
        <v>386</v>
      </c>
      <c r="I268" s="26" t="s">
        <v>35</v>
      </c>
      <c r="J268" s="26" t="s">
        <v>25</v>
      </c>
      <c r="K268" s="33" t="s">
        <v>1147</v>
      </c>
      <c r="L268" s="30" t="s">
        <v>26</v>
      </c>
      <c r="M268" s="30"/>
      <c r="N268" s="27" t="s">
        <v>27</v>
      </c>
      <c r="O268" s="27"/>
    </row>
    <row r="269" spans="1:15">
      <c r="A269" s="172" t="s">
        <v>387</v>
      </c>
      <c r="B269" s="72">
        <v>10</v>
      </c>
      <c r="C269" s="171" t="s">
        <v>388</v>
      </c>
      <c r="D269" s="72" t="s">
        <v>389</v>
      </c>
      <c r="E269" s="166" t="s">
        <v>15</v>
      </c>
      <c r="F269" s="166" t="s">
        <v>14</v>
      </c>
      <c r="G269" s="166" t="s">
        <v>35</v>
      </c>
      <c r="H269" s="166" t="s">
        <v>35</v>
      </c>
      <c r="I269" s="166" t="s">
        <v>35</v>
      </c>
      <c r="J269" s="166" t="s">
        <v>38</v>
      </c>
      <c r="K269" s="167"/>
      <c r="L269" s="170" t="s">
        <v>102</v>
      </c>
      <c r="M269" s="170"/>
      <c r="N269" s="72" t="s">
        <v>27</v>
      </c>
      <c r="O269" s="72"/>
    </row>
    <row r="270" spans="1:15">
      <c r="A270" s="172" t="s">
        <v>291</v>
      </c>
      <c r="B270" s="72">
        <v>4</v>
      </c>
      <c r="C270" s="72" t="s">
        <v>292</v>
      </c>
      <c r="D270" s="72">
        <v>161572</v>
      </c>
      <c r="E270" s="166" t="s">
        <v>35</v>
      </c>
      <c r="F270" s="166" t="s">
        <v>101</v>
      </c>
      <c r="G270" s="166" t="s">
        <v>293</v>
      </c>
      <c r="H270" s="166" t="s">
        <v>15</v>
      </c>
      <c r="I270" s="166" t="s">
        <v>15</v>
      </c>
      <c r="J270" s="166"/>
      <c r="K270" s="167">
        <v>44672</v>
      </c>
      <c r="L270" s="170" t="s">
        <v>15</v>
      </c>
      <c r="M270" s="170"/>
      <c r="N270" s="72" t="s">
        <v>27</v>
      </c>
      <c r="O270" s="72"/>
    </row>
    <row r="271" spans="1:15" outlineLevel="1">
      <c r="A271" s="27" t="s">
        <v>291</v>
      </c>
      <c r="B271" s="27">
        <v>1</v>
      </c>
      <c r="C271" s="27" t="s">
        <v>292</v>
      </c>
      <c r="D271" s="27">
        <v>161572</v>
      </c>
      <c r="E271" s="26" t="s">
        <v>35</v>
      </c>
      <c r="F271" s="26" t="s">
        <v>101</v>
      </c>
      <c r="G271" s="26" t="s">
        <v>1148</v>
      </c>
      <c r="H271" s="26" t="s">
        <v>393</v>
      </c>
      <c r="I271" s="26" t="s">
        <v>35</v>
      </c>
      <c r="J271" s="26" t="s">
        <v>38</v>
      </c>
      <c r="K271" s="33"/>
      <c r="L271" s="30" t="s">
        <v>262</v>
      </c>
      <c r="M271" s="30"/>
      <c r="N271" s="27" t="s">
        <v>27</v>
      </c>
      <c r="O271" s="27"/>
    </row>
    <row r="272" spans="1:15" outlineLevel="1">
      <c r="A272" s="27" t="s">
        <v>291</v>
      </c>
      <c r="B272" s="27">
        <v>1</v>
      </c>
      <c r="C272" s="27" t="s">
        <v>292</v>
      </c>
      <c r="D272" s="27">
        <v>161572</v>
      </c>
      <c r="E272" s="26" t="s">
        <v>35</v>
      </c>
      <c r="F272" s="26" t="s">
        <v>101</v>
      </c>
      <c r="G272" s="26" t="s">
        <v>1148</v>
      </c>
      <c r="H272" s="26" t="s">
        <v>395</v>
      </c>
      <c r="I272" s="26" t="s">
        <v>35</v>
      </c>
      <c r="J272" s="26" t="s">
        <v>38</v>
      </c>
      <c r="K272" s="33"/>
      <c r="L272" s="30" t="s">
        <v>117</v>
      </c>
      <c r="M272" s="30"/>
      <c r="N272" s="27" t="s">
        <v>27</v>
      </c>
      <c r="O272" s="27"/>
    </row>
    <row r="273" spans="1:15" outlineLevel="1">
      <c r="A273" s="27" t="s">
        <v>291</v>
      </c>
      <c r="B273" s="27">
        <v>1</v>
      </c>
      <c r="C273" s="27" t="s">
        <v>292</v>
      </c>
      <c r="D273" s="27">
        <v>161572</v>
      </c>
      <c r="E273" s="26" t="s">
        <v>35</v>
      </c>
      <c r="F273" s="26" t="s">
        <v>101</v>
      </c>
      <c r="G273" s="26" t="s">
        <v>1148</v>
      </c>
      <c r="H273" s="26" t="s">
        <v>397</v>
      </c>
      <c r="I273" s="26" t="s">
        <v>35</v>
      </c>
      <c r="J273" s="26" t="s">
        <v>38</v>
      </c>
      <c r="K273" s="33"/>
      <c r="L273" s="30" t="s">
        <v>117</v>
      </c>
      <c r="M273" s="30"/>
      <c r="N273" s="27" t="s">
        <v>27</v>
      </c>
      <c r="O273" s="27"/>
    </row>
    <row r="274" spans="1:15" outlineLevel="1">
      <c r="A274" s="27" t="s">
        <v>291</v>
      </c>
      <c r="B274" s="27">
        <v>1</v>
      </c>
      <c r="C274" s="27" t="s">
        <v>292</v>
      </c>
      <c r="D274" s="27">
        <v>161572</v>
      </c>
      <c r="E274" s="26" t="s">
        <v>35</v>
      </c>
      <c r="F274" s="26" t="s">
        <v>101</v>
      </c>
      <c r="G274" s="26" t="s">
        <v>1148</v>
      </c>
      <c r="H274" s="26" t="s">
        <v>399</v>
      </c>
      <c r="I274" s="26" t="s">
        <v>35</v>
      </c>
      <c r="J274" s="26" t="s">
        <v>38</v>
      </c>
      <c r="K274" s="33"/>
      <c r="L274" s="30" t="s">
        <v>400</v>
      </c>
      <c r="M274" s="30"/>
      <c r="N274" s="27" t="s">
        <v>27</v>
      </c>
      <c r="O274" s="27"/>
    </row>
    <row r="275" spans="1:15">
      <c r="A275" s="168" t="s">
        <v>401</v>
      </c>
      <c r="B275" s="72">
        <v>1</v>
      </c>
      <c r="C275" s="72" t="s">
        <v>402</v>
      </c>
      <c r="D275" s="72" t="s">
        <v>403</v>
      </c>
      <c r="E275" s="166" t="s">
        <v>404</v>
      </c>
      <c r="F275" s="166" t="s">
        <v>406</v>
      </c>
      <c r="G275" s="166" t="s">
        <v>405</v>
      </c>
      <c r="H275" s="166" t="s">
        <v>407</v>
      </c>
      <c r="I275" s="166"/>
      <c r="J275" s="166" t="s">
        <v>38</v>
      </c>
      <c r="K275" s="167">
        <v>44972</v>
      </c>
      <c r="L275" s="170" t="s">
        <v>102</v>
      </c>
      <c r="M275" s="170"/>
      <c r="N275" s="72" t="s">
        <v>27</v>
      </c>
      <c r="O275" s="72"/>
    </row>
    <row r="276" spans="1:15">
      <c r="A276" s="168" t="s">
        <v>408</v>
      </c>
      <c r="B276" s="72">
        <v>1</v>
      </c>
      <c r="C276" s="72" t="s">
        <v>409</v>
      </c>
      <c r="D276" s="72" t="s">
        <v>410</v>
      </c>
      <c r="E276" s="166" t="s">
        <v>411</v>
      </c>
      <c r="F276" s="166" t="s">
        <v>413</v>
      </c>
      <c r="G276" s="166"/>
      <c r="H276" s="166" t="s">
        <v>414</v>
      </c>
      <c r="I276" s="166"/>
      <c r="J276" s="166" t="s">
        <v>38</v>
      </c>
      <c r="K276" s="167">
        <v>44972</v>
      </c>
      <c r="L276" s="170" t="s">
        <v>102</v>
      </c>
      <c r="M276" s="170"/>
      <c r="N276" s="72" t="s">
        <v>27</v>
      </c>
      <c r="O276" s="72"/>
    </row>
    <row r="277" spans="1:15">
      <c r="A277" s="172" t="s">
        <v>591</v>
      </c>
      <c r="B277" s="72">
        <v>1</v>
      </c>
      <c r="C277" s="166" t="s">
        <v>592</v>
      </c>
      <c r="D277" s="166" t="s">
        <v>593</v>
      </c>
      <c r="E277" s="166">
        <v>27811</v>
      </c>
      <c r="F277" s="166" t="s">
        <v>594</v>
      </c>
      <c r="G277" s="166" t="s">
        <v>35</v>
      </c>
      <c r="H277" s="166" t="s">
        <v>595</v>
      </c>
      <c r="I277" s="166" t="s">
        <v>35</v>
      </c>
      <c r="J277" s="166" t="s">
        <v>38</v>
      </c>
      <c r="K277" s="167">
        <v>43475</v>
      </c>
      <c r="L277" s="170" t="s">
        <v>93</v>
      </c>
      <c r="M277" s="170"/>
      <c r="N277" s="72" t="s">
        <v>27</v>
      </c>
      <c r="O277" s="72"/>
    </row>
    <row r="278" spans="1:15">
      <c r="A278" s="168" t="s">
        <v>681</v>
      </c>
      <c r="B278" s="72">
        <v>1</v>
      </c>
      <c r="C278" s="72" t="s">
        <v>682</v>
      </c>
      <c r="D278" s="72" t="s">
        <v>35</v>
      </c>
      <c r="E278" s="166" t="s">
        <v>35</v>
      </c>
      <c r="F278" s="166" t="s">
        <v>101</v>
      </c>
      <c r="G278" s="166">
        <v>500207510145</v>
      </c>
      <c r="H278" s="166" t="s">
        <v>684</v>
      </c>
      <c r="I278" s="166">
        <v>3476743</v>
      </c>
      <c r="J278" s="166" t="s">
        <v>25</v>
      </c>
      <c r="K278" s="167">
        <v>43475</v>
      </c>
      <c r="L278" s="170" t="s">
        <v>685</v>
      </c>
      <c r="M278" s="170"/>
      <c r="N278" s="72" t="s">
        <v>27</v>
      </c>
      <c r="O278" s="72"/>
    </row>
    <row r="279" spans="1:15">
      <c r="A279" s="168" t="s">
        <v>294</v>
      </c>
      <c r="B279" s="72">
        <v>4</v>
      </c>
      <c r="C279" s="166" t="s">
        <v>15</v>
      </c>
      <c r="D279" s="166" t="s">
        <v>15</v>
      </c>
      <c r="E279" s="166" t="s">
        <v>15</v>
      </c>
      <c r="F279" s="166" t="s">
        <v>14</v>
      </c>
      <c r="G279" s="170" t="s">
        <v>15</v>
      </c>
      <c r="H279" s="166" t="s">
        <v>15</v>
      </c>
      <c r="I279" s="170" t="s">
        <v>15</v>
      </c>
      <c r="J279" s="170"/>
      <c r="K279" s="170">
        <v>43475</v>
      </c>
      <c r="L279" s="170" t="s">
        <v>15</v>
      </c>
      <c r="M279" s="170"/>
      <c r="N279" s="72" t="s">
        <v>27</v>
      </c>
      <c r="O279" s="72"/>
    </row>
    <row r="280" spans="1:15" outlineLevel="1">
      <c r="A280" s="27" t="s">
        <v>1014</v>
      </c>
      <c r="B280" s="27">
        <v>1</v>
      </c>
      <c r="C280" s="27" t="s">
        <v>1015</v>
      </c>
      <c r="D280" s="27" t="s">
        <v>1016</v>
      </c>
      <c r="E280" s="26" t="s">
        <v>1017</v>
      </c>
      <c r="F280" s="26" t="s">
        <v>1018</v>
      </c>
      <c r="G280" s="26" t="s">
        <v>35</v>
      </c>
      <c r="H280" s="26" t="s">
        <v>1019</v>
      </c>
      <c r="I280" s="26" t="s">
        <v>35</v>
      </c>
      <c r="J280" s="26" t="s">
        <v>38</v>
      </c>
      <c r="K280" s="33">
        <v>43475</v>
      </c>
      <c r="L280" s="30" t="s">
        <v>117</v>
      </c>
      <c r="M280" s="30"/>
      <c r="N280" s="27" t="s">
        <v>27</v>
      </c>
      <c r="O280" s="27"/>
    </row>
    <row r="281" spans="1:15" outlineLevel="1">
      <c r="A281" s="27" t="s">
        <v>1020</v>
      </c>
      <c r="B281" s="27">
        <v>1</v>
      </c>
      <c r="C281" s="27" t="s">
        <v>1021</v>
      </c>
      <c r="D281" s="27" t="s">
        <v>1022</v>
      </c>
      <c r="E281" s="26">
        <v>13020792</v>
      </c>
      <c r="F281" s="26" t="s">
        <v>1023</v>
      </c>
      <c r="G281" s="26">
        <v>17457</v>
      </c>
      <c r="H281" s="26" t="s">
        <v>1024</v>
      </c>
      <c r="I281" s="26" t="s">
        <v>35</v>
      </c>
      <c r="J281" s="26" t="s">
        <v>38</v>
      </c>
      <c r="K281" s="33">
        <v>43475</v>
      </c>
      <c r="L281" s="30" t="s">
        <v>1120</v>
      </c>
      <c r="M281" s="30"/>
      <c r="N281" s="27" t="s">
        <v>27</v>
      </c>
      <c r="O281" s="27"/>
    </row>
    <row r="282" spans="1:15" outlineLevel="1">
      <c r="A282" s="27" t="s">
        <v>1020</v>
      </c>
      <c r="B282" s="27">
        <v>1</v>
      </c>
      <c r="C282" s="27" t="s">
        <v>1021</v>
      </c>
      <c r="D282" s="27" t="s">
        <v>1022</v>
      </c>
      <c r="E282" s="26">
        <v>13084245</v>
      </c>
      <c r="F282" s="26" t="s">
        <v>1025</v>
      </c>
      <c r="G282" s="26">
        <v>17458</v>
      </c>
      <c r="H282" s="26" t="s">
        <v>720</v>
      </c>
      <c r="I282" s="26" t="s">
        <v>35</v>
      </c>
      <c r="J282" s="26" t="s">
        <v>38</v>
      </c>
      <c r="K282" s="33">
        <v>43475</v>
      </c>
      <c r="L282" s="30" t="s">
        <v>1120</v>
      </c>
      <c r="M282" s="30"/>
      <c r="N282" s="27" t="s">
        <v>27</v>
      </c>
      <c r="O282" s="27"/>
    </row>
    <row r="283" spans="1:15" outlineLevel="1">
      <c r="A283" s="27" t="s">
        <v>1020</v>
      </c>
      <c r="B283" s="27">
        <v>1</v>
      </c>
      <c r="C283" s="27" t="s">
        <v>1026</v>
      </c>
      <c r="D283" s="27" t="s">
        <v>15</v>
      </c>
      <c r="E283" s="26" t="s">
        <v>1027</v>
      </c>
      <c r="F283" s="26" t="s">
        <v>1028</v>
      </c>
      <c r="G283" s="26">
        <v>17413</v>
      </c>
      <c r="H283" s="26" t="s">
        <v>1029</v>
      </c>
      <c r="I283" s="26" t="s">
        <v>35</v>
      </c>
      <c r="J283" s="26" t="s">
        <v>38</v>
      </c>
      <c r="K283" s="33">
        <v>43475</v>
      </c>
      <c r="L283" s="30" t="s">
        <v>1120</v>
      </c>
      <c r="M283" s="30"/>
      <c r="N283" s="27" t="s">
        <v>27</v>
      </c>
      <c r="O283" s="27"/>
    </row>
    <row r="284" spans="1:15">
      <c r="A284" s="168" t="s">
        <v>295</v>
      </c>
      <c r="B284" s="72">
        <v>5</v>
      </c>
      <c r="C284" s="72" t="s">
        <v>131</v>
      </c>
      <c r="D284" s="72" t="s">
        <v>296</v>
      </c>
      <c r="E284" s="166" t="s">
        <v>15</v>
      </c>
      <c r="F284" s="166" t="s">
        <v>14</v>
      </c>
      <c r="G284" s="166" t="s">
        <v>15</v>
      </c>
      <c r="H284" s="166" t="s">
        <v>15</v>
      </c>
      <c r="I284" s="166" t="s">
        <v>15</v>
      </c>
      <c r="J284" s="166"/>
      <c r="K284" s="167"/>
      <c r="L284" s="170"/>
      <c r="M284" s="170"/>
      <c r="N284" s="72" t="s">
        <v>27</v>
      </c>
      <c r="O284" s="72"/>
    </row>
    <row r="285" spans="1:15" outlineLevel="1">
      <c r="A285" s="27" t="s">
        <v>295</v>
      </c>
      <c r="B285" s="27">
        <v>1</v>
      </c>
      <c r="C285" s="27" t="s">
        <v>131</v>
      </c>
      <c r="D285" s="27" t="s">
        <v>296</v>
      </c>
      <c r="E285" s="26" t="s">
        <v>297</v>
      </c>
      <c r="F285" s="26" t="s">
        <v>299</v>
      </c>
      <c r="G285" s="26" t="s">
        <v>298</v>
      </c>
      <c r="H285" s="26" t="s">
        <v>300</v>
      </c>
      <c r="I285" s="26">
        <v>3488111</v>
      </c>
      <c r="J285" s="26" t="s">
        <v>25</v>
      </c>
      <c r="K285" s="33">
        <v>43835</v>
      </c>
      <c r="L285" s="30" t="s">
        <v>78</v>
      </c>
      <c r="M285" s="30"/>
      <c r="N285" s="27" t="s">
        <v>27</v>
      </c>
      <c r="O285" s="27"/>
    </row>
    <row r="286" spans="1:15" outlineLevel="1">
      <c r="A286" s="27" t="s">
        <v>295</v>
      </c>
      <c r="B286" s="27">
        <v>1</v>
      </c>
      <c r="C286" s="27" t="s">
        <v>131</v>
      </c>
      <c r="D286" s="27" t="s">
        <v>296</v>
      </c>
      <c r="E286" s="26" t="s">
        <v>301</v>
      </c>
      <c r="F286" s="26" t="s">
        <v>303</v>
      </c>
      <c r="G286" s="26" t="s">
        <v>302</v>
      </c>
      <c r="H286" s="26" t="s">
        <v>304</v>
      </c>
      <c r="I286" s="26" t="s">
        <v>35</v>
      </c>
      <c r="J286" s="26" t="s">
        <v>25</v>
      </c>
      <c r="K286" s="33">
        <v>44613</v>
      </c>
      <c r="L286" s="30" t="s">
        <v>305</v>
      </c>
      <c r="M286" s="30"/>
      <c r="N286" s="27" t="s">
        <v>27</v>
      </c>
      <c r="O286" s="27"/>
    </row>
    <row r="287" spans="1:15" outlineLevel="1">
      <c r="A287" s="27" t="s">
        <v>295</v>
      </c>
      <c r="B287" s="27">
        <v>1</v>
      </c>
      <c r="C287" s="27" t="s">
        <v>131</v>
      </c>
      <c r="D287" s="27" t="s">
        <v>296</v>
      </c>
      <c r="E287" s="26" t="s">
        <v>306</v>
      </c>
      <c r="F287" s="26" t="s">
        <v>307</v>
      </c>
      <c r="G287" s="26" t="s">
        <v>302</v>
      </c>
      <c r="H287" s="26" t="s">
        <v>308</v>
      </c>
      <c r="I287" s="26" t="s">
        <v>35</v>
      </c>
      <c r="J287" s="26" t="s">
        <v>25</v>
      </c>
      <c r="K287" s="33">
        <v>44613</v>
      </c>
      <c r="L287" s="30" t="s">
        <v>305</v>
      </c>
      <c r="M287" s="30"/>
      <c r="N287" s="27" t="s">
        <v>27</v>
      </c>
      <c r="O287" s="27"/>
    </row>
    <row r="288" spans="1:15" outlineLevel="1">
      <c r="A288" s="27" t="s">
        <v>295</v>
      </c>
      <c r="B288" s="27">
        <v>1</v>
      </c>
      <c r="C288" s="27" t="s">
        <v>131</v>
      </c>
      <c r="D288" s="27" t="s">
        <v>296</v>
      </c>
      <c r="E288" s="26" t="s">
        <v>309</v>
      </c>
      <c r="F288" s="26" t="s">
        <v>310</v>
      </c>
      <c r="G288" s="26" t="s">
        <v>298</v>
      </c>
      <c r="H288" s="26" t="s">
        <v>311</v>
      </c>
      <c r="I288" s="26" t="s">
        <v>35</v>
      </c>
      <c r="J288" s="26" t="s">
        <v>25</v>
      </c>
      <c r="K288" s="33">
        <v>44613</v>
      </c>
      <c r="L288" s="30" t="s">
        <v>78</v>
      </c>
      <c r="M288" s="30"/>
      <c r="N288" s="27" t="s">
        <v>27</v>
      </c>
      <c r="O288" s="27"/>
    </row>
    <row r="289" spans="1:15" outlineLevel="1">
      <c r="A289" s="27" t="s">
        <v>295</v>
      </c>
      <c r="B289" s="27">
        <v>1</v>
      </c>
      <c r="C289" s="27" t="s">
        <v>131</v>
      </c>
      <c r="D289" s="27" t="s">
        <v>296</v>
      </c>
      <c r="E289" s="26" t="s">
        <v>312</v>
      </c>
      <c r="F289" s="26" t="s">
        <v>313</v>
      </c>
      <c r="G289" s="26" t="s">
        <v>302</v>
      </c>
      <c r="H289" s="26" t="s">
        <v>1149</v>
      </c>
      <c r="I289" s="26" t="s">
        <v>35</v>
      </c>
      <c r="J289" s="26" t="s">
        <v>25</v>
      </c>
      <c r="K289" s="33">
        <v>44613</v>
      </c>
      <c r="L289" s="30" t="s">
        <v>78</v>
      </c>
      <c r="M289" s="30"/>
      <c r="N289" s="27" t="s">
        <v>27</v>
      </c>
      <c r="O289" s="27"/>
    </row>
    <row r="290" spans="1:15">
      <c r="A290" s="168" t="s">
        <v>315</v>
      </c>
      <c r="B290" s="72">
        <v>2</v>
      </c>
      <c r="C290" s="72" t="s">
        <v>131</v>
      </c>
      <c r="D290" s="72" t="s">
        <v>316</v>
      </c>
      <c r="E290" s="166" t="s">
        <v>15</v>
      </c>
      <c r="F290" s="166" t="s">
        <v>14</v>
      </c>
      <c r="G290" s="166" t="s">
        <v>15</v>
      </c>
      <c r="H290" s="166" t="s">
        <v>15</v>
      </c>
      <c r="I290" s="166" t="s">
        <v>15</v>
      </c>
      <c r="J290" s="166"/>
      <c r="K290" s="167"/>
      <c r="L290" s="170" t="s">
        <v>15</v>
      </c>
      <c r="M290" s="170"/>
      <c r="N290" s="72" t="s">
        <v>27</v>
      </c>
      <c r="O290" s="72"/>
    </row>
    <row r="291" spans="1:15" outlineLevel="1">
      <c r="A291" s="27" t="s">
        <v>315</v>
      </c>
      <c r="B291" s="27">
        <v>1</v>
      </c>
      <c r="C291" s="27" t="s">
        <v>131</v>
      </c>
      <c r="D291" s="27" t="s">
        <v>316</v>
      </c>
      <c r="E291" s="26" t="s">
        <v>317</v>
      </c>
      <c r="F291" s="26" t="s">
        <v>319</v>
      </c>
      <c r="G291" s="26" t="s">
        <v>318</v>
      </c>
      <c r="H291" s="26" t="s">
        <v>320</v>
      </c>
      <c r="I291" s="26">
        <v>3488117</v>
      </c>
      <c r="J291" s="26" t="s">
        <v>25</v>
      </c>
      <c r="K291" s="33">
        <v>44203</v>
      </c>
      <c r="L291" s="30" t="s">
        <v>321</v>
      </c>
      <c r="M291" s="30"/>
      <c r="N291" s="27" t="s">
        <v>27</v>
      </c>
      <c r="O291" s="27"/>
    </row>
    <row r="292" spans="1:15" outlineLevel="1">
      <c r="A292" s="27" t="s">
        <v>315</v>
      </c>
      <c r="B292" s="27">
        <v>1</v>
      </c>
      <c r="C292" s="27" t="s">
        <v>131</v>
      </c>
      <c r="D292" s="27" t="s">
        <v>316</v>
      </c>
      <c r="E292" s="26" t="s">
        <v>322</v>
      </c>
      <c r="F292" s="26" t="s">
        <v>307</v>
      </c>
      <c r="G292" s="26" t="s">
        <v>323</v>
      </c>
      <c r="H292" s="26" t="s">
        <v>1150</v>
      </c>
      <c r="I292" s="26">
        <v>3573200</v>
      </c>
      <c r="J292" s="26" t="s">
        <v>25</v>
      </c>
      <c r="K292" s="33">
        <v>44613</v>
      </c>
      <c r="L292" s="30" t="s">
        <v>325</v>
      </c>
      <c r="M292" s="30"/>
      <c r="N292" s="27" t="s">
        <v>27</v>
      </c>
      <c r="O292" s="27"/>
    </row>
    <row r="293" spans="1:15">
      <c r="A293" s="181" t="s">
        <v>686</v>
      </c>
      <c r="B293" s="176">
        <v>2</v>
      </c>
      <c r="C293" s="180" t="s">
        <v>15</v>
      </c>
      <c r="D293" s="180" t="s">
        <v>15</v>
      </c>
      <c r="E293" s="166" t="s">
        <v>15</v>
      </c>
      <c r="F293" s="166" t="s">
        <v>14</v>
      </c>
      <c r="G293" s="180" t="s">
        <v>15</v>
      </c>
      <c r="H293" s="166" t="s">
        <v>15</v>
      </c>
      <c r="I293" s="166" t="s">
        <v>15</v>
      </c>
      <c r="J293" s="166"/>
      <c r="K293" s="167">
        <v>43475</v>
      </c>
      <c r="L293" s="170" t="s">
        <v>15</v>
      </c>
      <c r="M293" s="170"/>
      <c r="N293" s="72" t="s">
        <v>27</v>
      </c>
      <c r="O293" s="72"/>
    </row>
    <row r="294" spans="1:15" outlineLevel="1">
      <c r="A294" s="27" t="s">
        <v>686</v>
      </c>
      <c r="B294" s="27">
        <v>1</v>
      </c>
      <c r="C294" s="27" t="s">
        <v>35</v>
      </c>
      <c r="D294" s="27" t="s">
        <v>687</v>
      </c>
      <c r="E294" s="26" t="s">
        <v>35</v>
      </c>
      <c r="F294" s="26" t="s">
        <v>101</v>
      </c>
      <c r="G294" s="26">
        <v>500207510417</v>
      </c>
      <c r="H294" s="26" t="s">
        <v>689</v>
      </c>
      <c r="I294" s="26">
        <v>3476734</v>
      </c>
      <c r="J294" s="26" t="s">
        <v>25</v>
      </c>
      <c r="K294" s="33">
        <v>43475</v>
      </c>
      <c r="L294" s="30" t="s">
        <v>26</v>
      </c>
      <c r="M294" s="30"/>
      <c r="N294" s="27" t="s">
        <v>27</v>
      </c>
      <c r="O294" s="27"/>
    </row>
    <row r="295" spans="1:15" outlineLevel="1">
      <c r="A295" s="27" t="s">
        <v>686</v>
      </c>
      <c r="B295" s="27">
        <v>1</v>
      </c>
      <c r="C295" s="27" t="s">
        <v>35</v>
      </c>
      <c r="D295" s="27" t="s">
        <v>687</v>
      </c>
      <c r="E295" s="26" t="s">
        <v>35</v>
      </c>
      <c r="F295" s="26" t="s">
        <v>101</v>
      </c>
      <c r="G295" s="26">
        <v>500207510408</v>
      </c>
      <c r="H295" s="26" t="s">
        <v>691</v>
      </c>
      <c r="I295" s="26">
        <v>3476735</v>
      </c>
      <c r="J295" s="26" t="s">
        <v>25</v>
      </c>
      <c r="K295" s="33">
        <v>43475</v>
      </c>
      <c r="L295" s="30" t="s">
        <v>685</v>
      </c>
      <c r="M295" s="30"/>
      <c r="N295" s="27" t="s">
        <v>27</v>
      </c>
      <c r="O295" s="27"/>
    </row>
    <row r="296" spans="1:15">
      <c r="A296" s="168" t="s">
        <v>692</v>
      </c>
      <c r="B296" s="72">
        <v>2</v>
      </c>
      <c r="C296" s="72" t="s">
        <v>693</v>
      </c>
      <c r="D296" s="72">
        <v>201</v>
      </c>
      <c r="E296" s="166" t="s">
        <v>15</v>
      </c>
      <c r="F296" s="166" t="s">
        <v>14</v>
      </c>
      <c r="G296" s="166" t="s">
        <v>694</v>
      </c>
      <c r="H296" s="166" t="s">
        <v>15</v>
      </c>
      <c r="I296" s="166" t="s">
        <v>35</v>
      </c>
      <c r="J296" s="166"/>
      <c r="K296" s="167">
        <v>43991</v>
      </c>
      <c r="L296" s="170" t="s">
        <v>90</v>
      </c>
      <c r="M296" s="170"/>
      <c r="N296" s="72" t="s">
        <v>27</v>
      </c>
      <c r="O296" s="72"/>
    </row>
    <row r="297" spans="1:15" outlineLevel="1">
      <c r="A297" s="27" t="s">
        <v>692</v>
      </c>
      <c r="B297" s="27">
        <v>1</v>
      </c>
      <c r="C297" s="27" t="s">
        <v>693</v>
      </c>
      <c r="D297" s="27">
        <v>201</v>
      </c>
      <c r="E297" s="26" t="s">
        <v>695</v>
      </c>
      <c r="F297" s="26" t="s">
        <v>696</v>
      </c>
      <c r="G297" s="26">
        <v>500207510407</v>
      </c>
      <c r="H297" s="26" t="s">
        <v>697</v>
      </c>
      <c r="I297" s="26">
        <v>3470910</v>
      </c>
      <c r="J297" s="26" t="s">
        <v>25</v>
      </c>
      <c r="K297" s="33">
        <v>43991</v>
      </c>
      <c r="L297" s="30" t="s">
        <v>90</v>
      </c>
      <c r="M297" s="30"/>
      <c r="N297" s="27" t="s">
        <v>27</v>
      </c>
      <c r="O297" s="27"/>
    </row>
    <row r="298" spans="1:15" outlineLevel="1">
      <c r="A298" s="27" t="s">
        <v>692</v>
      </c>
      <c r="B298" s="27">
        <v>1</v>
      </c>
      <c r="C298" s="27" t="s">
        <v>693</v>
      </c>
      <c r="D298" s="27">
        <v>201</v>
      </c>
      <c r="E298" s="26" t="s">
        <v>698</v>
      </c>
      <c r="F298" s="26" t="s">
        <v>699</v>
      </c>
      <c r="G298" s="26">
        <v>500207510406</v>
      </c>
      <c r="H298" s="26" t="s">
        <v>700</v>
      </c>
      <c r="I298" s="26">
        <v>3470909</v>
      </c>
      <c r="J298" s="26" t="s">
        <v>25</v>
      </c>
      <c r="K298" s="33">
        <v>43991</v>
      </c>
      <c r="L298" s="30" t="s">
        <v>90</v>
      </c>
      <c r="M298" s="30"/>
      <c r="N298" s="27" t="s">
        <v>27</v>
      </c>
      <c r="O298" s="27"/>
    </row>
    <row r="299" spans="1:15">
      <c r="A299" s="168" t="s">
        <v>909</v>
      </c>
      <c r="B299" s="72">
        <v>1</v>
      </c>
      <c r="C299" s="72" t="s">
        <v>910</v>
      </c>
      <c r="D299" s="72" t="s">
        <v>911</v>
      </c>
      <c r="E299" s="166" t="s">
        <v>35</v>
      </c>
      <c r="F299" s="166" t="s">
        <v>101</v>
      </c>
      <c r="G299" s="166" t="s">
        <v>912</v>
      </c>
      <c r="H299" s="166"/>
      <c r="I299" s="166" t="s">
        <v>35</v>
      </c>
      <c r="J299" s="166" t="s">
        <v>38</v>
      </c>
      <c r="K299" s="167">
        <v>45198</v>
      </c>
      <c r="L299" s="170" t="s">
        <v>117</v>
      </c>
      <c r="M299" s="170"/>
      <c r="N299" s="170" t="s">
        <v>27</v>
      </c>
      <c r="O299" s="72"/>
    </row>
    <row r="300" spans="1:15" s="213" customFormat="1">
      <c r="A300" s="214" t="s">
        <v>1036</v>
      </c>
      <c r="B300" s="215">
        <v>4</v>
      </c>
      <c r="C300" s="216" t="s">
        <v>14</v>
      </c>
      <c r="D300" s="216"/>
      <c r="E300" s="217" t="s">
        <v>35</v>
      </c>
      <c r="F300" s="216" t="s">
        <v>14</v>
      </c>
      <c r="G300" s="216" t="s">
        <v>14</v>
      </c>
      <c r="H300" s="216" t="s">
        <v>14</v>
      </c>
      <c r="I300" s="216" t="s">
        <v>14</v>
      </c>
      <c r="J300" s="216" t="s">
        <v>14</v>
      </c>
      <c r="K300" s="216" t="s">
        <v>14</v>
      </c>
      <c r="L300" s="217" t="s">
        <v>1113</v>
      </c>
      <c r="M300" s="218"/>
      <c r="N300" s="170" t="s">
        <v>27</v>
      </c>
      <c r="O300" s="218"/>
    </row>
    <row r="301" spans="1:15" s="213" customFormat="1">
      <c r="A301" s="214" t="s">
        <v>1037</v>
      </c>
      <c r="B301" s="215">
        <v>2</v>
      </c>
      <c r="C301" s="216" t="s">
        <v>14</v>
      </c>
      <c r="D301" s="216"/>
      <c r="E301" s="217" t="s">
        <v>35</v>
      </c>
      <c r="F301" s="216" t="s">
        <v>14</v>
      </c>
      <c r="G301" s="216" t="s">
        <v>14</v>
      </c>
      <c r="H301" s="216" t="s">
        <v>14</v>
      </c>
      <c r="I301" s="216" t="s">
        <v>14</v>
      </c>
      <c r="J301" s="216" t="s">
        <v>14</v>
      </c>
      <c r="K301" s="216" t="s">
        <v>14</v>
      </c>
      <c r="L301" s="217" t="s">
        <v>1113</v>
      </c>
      <c r="M301" s="218"/>
      <c r="N301" s="170" t="s">
        <v>27</v>
      </c>
      <c r="O301" s="218"/>
    </row>
    <row r="302" spans="1:15" s="213" customFormat="1">
      <c r="A302" s="214" t="s">
        <v>1038</v>
      </c>
      <c r="B302" s="215">
        <v>11</v>
      </c>
      <c r="C302" s="216" t="s">
        <v>14</v>
      </c>
      <c r="D302" s="216"/>
      <c r="E302" s="217" t="s">
        <v>35</v>
      </c>
      <c r="F302" s="216" t="s">
        <v>14</v>
      </c>
      <c r="G302" s="216" t="s">
        <v>14</v>
      </c>
      <c r="H302" s="216" t="s">
        <v>14</v>
      </c>
      <c r="I302" s="216" t="s">
        <v>14</v>
      </c>
      <c r="J302" s="216" t="s">
        <v>14</v>
      </c>
      <c r="K302" s="216" t="s">
        <v>14</v>
      </c>
      <c r="L302" s="217" t="s">
        <v>14</v>
      </c>
      <c r="M302" s="218"/>
      <c r="N302" s="170" t="s">
        <v>27</v>
      </c>
      <c r="O302" s="218"/>
    </row>
    <row r="303" spans="1:15">
      <c r="A303" s="168" t="s">
        <v>1151</v>
      </c>
      <c r="B303" s="72">
        <v>1</v>
      </c>
      <c r="C303" s="72" t="s">
        <v>1152</v>
      </c>
      <c r="D303" s="72" t="s">
        <v>1153</v>
      </c>
      <c r="E303" s="166">
        <v>917431</v>
      </c>
      <c r="F303" s="166" t="e">
        <f>#N/A</f>
        <v>#N/A</v>
      </c>
      <c r="G303" s="166">
        <v>500207510414</v>
      </c>
      <c r="H303" s="166" t="s">
        <v>1154</v>
      </c>
      <c r="I303" s="166" t="s">
        <v>35</v>
      </c>
      <c r="J303" s="166" t="s">
        <v>38</v>
      </c>
      <c r="K303" s="167">
        <v>43475</v>
      </c>
      <c r="L303" s="170" t="s">
        <v>1620</v>
      </c>
      <c r="M303" s="170"/>
      <c r="N303" s="170" t="s">
        <v>27</v>
      </c>
      <c r="O303" s="72"/>
    </row>
    <row r="304" spans="1:15">
      <c r="A304" s="168" t="s">
        <v>1155</v>
      </c>
      <c r="B304" s="72">
        <v>20</v>
      </c>
      <c r="C304" s="72" t="s">
        <v>1156</v>
      </c>
      <c r="D304" s="72" t="s">
        <v>35</v>
      </c>
      <c r="E304" s="166" t="s">
        <v>35</v>
      </c>
      <c r="F304" s="166" t="s">
        <v>101</v>
      </c>
      <c r="G304" s="166" t="s">
        <v>1157</v>
      </c>
      <c r="H304" s="166" t="s">
        <v>35</v>
      </c>
      <c r="I304" s="166" t="s">
        <v>35</v>
      </c>
      <c r="J304" s="166" t="s">
        <v>25</v>
      </c>
      <c r="K304" s="167">
        <v>45208</v>
      </c>
      <c r="L304" s="170" t="s">
        <v>26</v>
      </c>
      <c r="M304" s="170"/>
      <c r="N304" s="170" t="s">
        <v>27</v>
      </c>
      <c r="O304" s="72"/>
    </row>
    <row r="305" spans="1:15">
      <c r="A305" s="168" t="s">
        <v>2165</v>
      </c>
      <c r="B305" s="72">
        <v>54</v>
      </c>
      <c r="C305" s="72" t="s">
        <v>1158</v>
      </c>
      <c r="D305" s="185"/>
      <c r="E305" s="166" t="s">
        <v>35</v>
      </c>
      <c r="F305" s="166"/>
      <c r="G305" s="166" t="s">
        <v>1160</v>
      </c>
      <c r="H305" s="166"/>
      <c r="I305" s="166"/>
      <c r="J305" s="166"/>
      <c r="K305" s="167"/>
      <c r="L305" s="170"/>
      <c r="M305" s="170"/>
      <c r="N305" s="170"/>
      <c r="O305" s="72"/>
    </row>
    <row r="306" spans="1:15" s="227" customFormat="1">
      <c r="A306" s="221" t="s">
        <v>1155</v>
      </c>
      <c r="B306" s="222">
        <v>1</v>
      </c>
      <c r="C306" s="222" t="s">
        <v>1158</v>
      </c>
      <c r="D306" s="223" t="s">
        <v>1159</v>
      </c>
      <c r="E306" s="224" t="s">
        <v>35</v>
      </c>
      <c r="F306" s="224" t="s">
        <v>101</v>
      </c>
      <c r="G306" s="224" t="s">
        <v>1160</v>
      </c>
      <c r="H306" s="224" t="s">
        <v>35</v>
      </c>
      <c r="I306" s="224" t="s">
        <v>35</v>
      </c>
      <c r="J306" s="224" t="s">
        <v>25</v>
      </c>
      <c r="K306" s="225">
        <v>45208</v>
      </c>
      <c r="L306" s="226" t="s">
        <v>2084</v>
      </c>
      <c r="M306" s="226"/>
      <c r="N306" s="226" t="s">
        <v>27</v>
      </c>
      <c r="O306" s="222"/>
    </row>
    <row r="307" spans="1:15" s="227" customFormat="1">
      <c r="A307" s="221" t="s">
        <v>1155</v>
      </c>
      <c r="B307" s="222">
        <v>1</v>
      </c>
      <c r="C307" s="222" t="s">
        <v>1158</v>
      </c>
      <c r="D307" s="223" t="s">
        <v>2082</v>
      </c>
      <c r="E307" s="224" t="s">
        <v>35</v>
      </c>
      <c r="F307" s="224" t="s">
        <v>2083</v>
      </c>
      <c r="G307" s="224" t="s">
        <v>2138</v>
      </c>
      <c r="H307" s="224" t="s">
        <v>35</v>
      </c>
      <c r="I307" s="224" t="s">
        <v>35</v>
      </c>
      <c r="J307" s="224" t="s">
        <v>25</v>
      </c>
      <c r="K307" s="225">
        <v>45666</v>
      </c>
      <c r="L307" s="226" t="s">
        <v>2084</v>
      </c>
      <c r="M307" s="226"/>
      <c r="N307" s="226"/>
      <c r="O307" s="222"/>
    </row>
    <row r="308" spans="1:15" s="227" customFormat="1">
      <c r="A308" s="221" t="s">
        <v>1155</v>
      </c>
      <c r="B308" s="222">
        <v>1</v>
      </c>
      <c r="C308" s="222" t="s">
        <v>1158</v>
      </c>
      <c r="D308" s="223" t="s">
        <v>2082</v>
      </c>
      <c r="E308" s="224" t="s">
        <v>35</v>
      </c>
      <c r="F308" s="224" t="s">
        <v>2085</v>
      </c>
      <c r="G308" s="224" t="s">
        <v>2138</v>
      </c>
      <c r="H308" s="224" t="s">
        <v>35</v>
      </c>
      <c r="I308" s="224" t="s">
        <v>35</v>
      </c>
      <c r="J308" s="224" t="s">
        <v>25</v>
      </c>
      <c r="K308" s="225">
        <v>45666</v>
      </c>
      <c r="L308" s="226" t="s">
        <v>2084</v>
      </c>
      <c r="M308" s="226"/>
      <c r="N308" s="226"/>
      <c r="O308" s="222"/>
    </row>
    <row r="309" spans="1:15" s="227" customFormat="1">
      <c r="A309" s="221" t="s">
        <v>1155</v>
      </c>
      <c r="B309" s="222">
        <v>1</v>
      </c>
      <c r="C309" s="222" t="s">
        <v>1158</v>
      </c>
      <c r="D309" s="223" t="s">
        <v>2082</v>
      </c>
      <c r="E309" s="224" t="s">
        <v>35</v>
      </c>
      <c r="F309" s="224" t="s">
        <v>2086</v>
      </c>
      <c r="G309" s="224" t="s">
        <v>2138</v>
      </c>
      <c r="H309" s="224" t="s">
        <v>35</v>
      </c>
      <c r="I309" s="224" t="s">
        <v>35</v>
      </c>
      <c r="J309" s="224" t="s">
        <v>25</v>
      </c>
      <c r="K309" s="225">
        <v>45666</v>
      </c>
      <c r="L309" s="226" t="s">
        <v>2084</v>
      </c>
      <c r="M309" s="226"/>
      <c r="N309" s="226"/>
      <c r="O309" s="222"/>
    </row>
    <row r="310" spans="1:15" s="227" customFormat="1">
      <c r="A310" s="221" t="s">
        <v>1155</v>
      </c>
      <c r="B310" s="222">
        <v>1</v>
      </c>
      <c r="C310" s="222" t="s">
        <v>1158</v>
      </c>
      <c r="D310" s="223" t="s">
        <v>2082</v>
      </c>
      <c r="E310" s="224" t="s">
        <v>35</v>
      </c>
      <c r="F310" s="224" t="s">
        <v>2087</v>
      </c>
      <c r="G310" s="224" t="s">
        <v>2138</v>
      </c>
      <c r="H310" s="224" t="s">
        <v>35</v>
      </c>
      <c r="I310" s="224" t="s">
        <v>35</v>
      </c>
      <c r="J310" s="224" t="s">
        <v>25</v>
      </c>
      <c r="K310" s="225">
        <v>45666</v>
      </c>
      <c r="L310" s="226" t="s">
        <v>2084</v>
      </c>
      <c r="M310" s="226"/>
      <c r="N310" s="226"/>
      <c r="O310" s="222"/>
    </row>
    <row r="311" spans="1:15" s="227" customFormat="1">
      <c r="A311" s="221" t="s">
        <v>1155</v>
      </c>
      <c r="B311" s="222">
        <v>1</v>
      </c>
      <c r="C311" s="222" t="s">
        <v>1158</v>
      </c>
      <c r="D311" s="223" t="s">
        <v>2082</v>
      </c>
      <c r="E311" s="224" t="s">
        <v>35</v>
      </c>
      <c r="F311" s="224" t="s">
        <v>2088</v>
      </c>
      <c r="G311" s="224" t="s">
        <v>2138</v>
      </c>
      <c r="H311" s="224" t="s">
        <v>35</v>
      </c>
      <c r="I311" s="224" t="s">
        <v>35</v>
      </c>
      <c r="J311" s="224" t="s">
        <v>25</v>
      </c>
      <c r="K311" s="225">
        <v>45666</v>
      </c>
      <c r="L311" s="226" t="s">
        <v>2084</v>
      </c>
      <c r="M311" s="226"/>
      <c r="N311" s="226"/>
      <c r="O311" s="222"/>
    </row>
    <row r="312" spans="1:15" s="227" customFormat="1">
      <c r="A312" s="221" t="s">
        <v>1155</v>
      </c>
      <c r="B312" s="222">
        <v>1</v>
      </c>
      <c r="C312" s="222" t="s">
        <v>1158</v>
      </c>
      <c r="D312" s="223" t="s">
        <v>2082</v>
      </c>
      <c r="E312" s="224" t="s">
        <v>35</v>
      </c>
      <c r="F312" s="224" t="s">
        <v>2089</v>
      </c>
      <c r="G312" s="224" t="s">
        <v>2138</v>
      </c>
      <c r="H312" s="224" t="s">
        <v>35</v>
      </c>
      <c r="I312" s="224" t="s">
        <v>35</v>
      </c>
      <c r="J312" s="224" t="s">
        <v>25</v>
      </c>
      <c r="K312" s="225">
        <v>45666</v>
      </c>
      <c r="L312" s="226" t="s">
        <v>2084</v>
      </c>
      <c r="M312" s="226"/>
      <c r="N312" s="226"/>
      <c r="O312" s="222"/>
    </row>
    <row r="313" spans="1:15" s="227" customFormat="1">
      <c r="A313" s="221" t="s">
        <v>1155</v>
      </c>
      <c r="B313" s="222">
        <v>1</v>
      </c>
      <c r="C313" s="222" t="s">
        <v>1158</v>
      </c>
      <c r="D313" s="223" t="s">
        <v>2082</v>
      </c>
      <c r="E313" s="224" t="s">
        <v>35</v>
      </c>
      <c r="F313" s="224" t="s">
        <v>2090</v>
      </c>
      <c r="G313" s="224" t="s">
        <v>2138</v>
      </c>
      <c r="H313" s="224" t="s">
        <v>35</v>
      </c>
      <c r="I313" s="224" t="s">
        <v>35</v>
      </c>
      <c r="J313" s="224" t="s">
        <v>25</v>
      </c>
      <c r="K313" s="225">
        <v>45666</v>
      </c>
      <c r="L313" s="226" t="s">
        <v>2084</v>
      </c>
      <c r="M313" s="226"/>
      <c r="N313" s="226"/>
      <c r="O313" s="222"/>
    </row>
    <row r="314" spans="1:15" s="227" customFormat="1">
      <c r="A314" s="221" t="s">
        <v>1155</v>
      </c>
      <c r="B314" s="222">
        <v>1</v>
      </c>
      <c r="C314" s="222" t="s">
        <v>1158</v>
      </c>
      <c r="D314" s="223" t="s">
        <v>2082</v>
      </c>
      <c r="E314" s="224" t="s">
        <v>35</v>
      </c>
      <c r="F314" s="224" t="s">
        <v>2091</v>
      </c>
      <c r="G314" s="224" t="s">
        <v>2138</v>
      </c>
      <c r="H314" s="224" t="s">
        <v>35</v>
      </c>
      <c r="I314" s="224" t="s">
        <v>35</v>
      </c>
      <c r="J314" s="224" t="s">
        <v>25</v>
      </c>
      <c r="K314" s="225">
        <v>45666</v>
      </c>
      <c r="L314" s="226" t="s">
        <v>2084</v>
      </c>
      <c r="M314" s="226"/>
      <c r="N314" s="226"/>
      <c r="O314" s="222"/>
    </row>
    <row r="315" spans="1:15" s="227" customFormat="1">
      <c r="A315" s="221" t="s">
        <v>1155</v>
      </c>
      <c r="B315" s="222">
        <v>1</v>
      </c>
      <c r="C315" s="222" t="s">
        <v>1158</v>
      </c>
      <c r="D315" s="223" t="s">
        <v>2082</v>
      </c>
      <c r="E315" s="224" t="s">
        <v>35</v>
      </c>
      <c r="F315" s="224" t="s">
        <v>2092</v>
      </c>
      <c r="G315" s="224" t="s">
        <v>2138</v>
      </c>
      <c r="H315" s="224" t="s">
        <v>35</v>
      </c>
      <c r="I315" s="224" t="s">
        <v>35</v>
      </c>
      <c r="J315" s="224" t="s">
        <v>25</v>
      </c>
      <c r="K315" s="225">
        <v>45666</v>
      </c>
      <c r="L315" s="226" t="s">
        <v>2084</v>
      </c>
      <c r="M315" s="226"/>
      <c r="N315" s="226"/>
      <c r="O315" s="222"/>
    </row>
    <row r="316" spans="1:15" s="227" customFormat="1">
      <c r="A316" s="221" t="s">
        <v>1155</v>
      </c>
      <c r="B316" s="222">
        <v>1</v>
      </c>
      <c r="C316" s="222" t="s">
        <v>1158</v>
      </c>
      <c r="D316" s="223" t="s">
        <v>2082</v>
      </c>
      <c r="E316" s="224" t="s">
        <v>35</v>
      </c>
      <c r="F316" s="224" t="s">
        <v>2093</v>
      </c>
      <c r="G316" s="224" t="s">
        <v>2138</v>
      </c>
      <c r="H316" s="224" t="s">
        <v>35</v>
      </c>
      <c r="I316" s="224" t="s">
        <v>35</v>
      </c>
      <c r="J316" s="224" t="s">
        <v>25</v>
      </c>
      <c r="K316" s="225">
        <v>45666</v>
      </c>
      <c r="L316" s="226" t="s">
        <v>2084</v>
      </c>
      <c r="M316" s="226"/>
      <c r="N316" s="226"/>
      <c r="O316" s="222"/>
    </row>
    <row r="317" spans="1:15" s="227" customFormat="1">
      <c r="A317" s="221" t="s">
        <v>1155</v>
      </c>
      <c r="B317" s="222">
        <v>1</v>
      </c>
      <c r="C317" s="222" t="s">
        <v>1158</v>
      </c>
      <c r="D317" s="223" t="s">
        <v>2082</v>
      </c>
      <c r="E317" s="224" t="s">
        <v>35</v>
      </c>
      <c r="F317" s="224" t="s">
        <v>2094</v>
      </c>
      <c r="G317" s="224" t="s">
        <v>2138</v>
      </c>
      <c r="H317" s="224" t="s">
        <v>35</v>
      </c>
      <c r="I317" s="224" t="s">
        <v>35</v>
      </c>
      <c r="J317" s="224" t="s">
        <v>25</v>
      </c>
      <c r="K317" s="225">
        <v>45666</v>
      </c>
      <c r="L317" s="226" t="s">
        <v>2084</v>
      </c>
      <c r="M317" s="226"/>
      <c r="N317" s="226"/>
      <c r="O317" s="222"/>
    </row>
    <row r="318" spans="1:15" s="227" customFormat="1">
      <c r="A318" s="221" t="s">
        <v>1155</v>
      </c>
      <c r="B318" s="222">
        <v>1</v>
      </c>
      <c r="C318" s="222" t="s">
        <v>1158</v>
      </c>
      <c r="D318" s="223" t="s">
        <v>2082</v>
      </c>
      <c r="E318" s="224" t="s">
        <v>35</v>
      </c>
      <c r="F318" s="224" t="s">
        <v>2095</v>
      </c>
      <c r="G318" s="224" t="s">
        <v>2138</v>
      </c>
      <c r="H318" s="224" t="s">
        <v>35</v>
      </c>
      <c r="I318" s="224" t="s">
        <v>35</v>
      </c>
      <c r="J318" s="224" t="s">
        <v>25</v>
      </c>
      <c r="K318" s="225">
        <v>45666</v>
      </c>
      <c r="L318" s="226" t="s">
        <v>2084</v>
      </c>
      <c r="M318" s="226"/>
      <c r="N318" s="226"/>
      <c r="O318" s="222"/>
    </row>
    <row r="319" spans="1:15" s="227" customFormat="1">
      <c r="A319" s="221" t="s">
        <v>1155</v>
      </c>
      <c r="B319" s="222">
        <v>1</v>
      </c>
      <c r="C319" s="222" t="s">
        <v>1158</v>
      </c>
      <c r="D319" s="223" t="s">
        <v>2082</v>
      </c>
      <c r="E319" s="224" t="s">
        <v>35</v>
      </c>
      <c r="F319" s="224" t="s">
        <v>2096</v>
      </c>
      <c r="G319" s="224" t="s">
        <v>2138</v>
      </c>
      <c r="H319" s="224" t="s">
        <v>35</v>
      </c>
      <c r="I319" s="224" t="s">
        <v>35</v>
      </c>
      <c r="J319" s="224" t="s">
        <v>25</v>
      </c>
      <c r="K319" s="225">
        <v>45666</v>
      </c>
      <c r="L319" s="226" t="s">
        <v>2084</v>
      </c>
      <c r="M319" s="226"/>
      <c r="N319" s="226"/>
      <c r="O319" s="222"/>
    </row>
    <row r="320" spans="1:15" s="227" customFormat="1">
      <c r="A320" s="221" t="s">
        <v>1155</v>
      </c>
      <c r="B320" s="222">
        <v>1</v>
      </c>
      <c r="C320" s="222" t="s">
        <v>1158</v>
      </c>
      <c r="D320" s="223" t="s">
        <v>2082</v>
      </c>
      <c r="E320" s="224" t="s">
        <v>35</v>
      </c>
      <c r="F320" s="224" t="s">
        <v>2097</v>
      </c>
      <c r="G320" s="224" t="s">
        <v>2138</v>
      </c>
      <c r="H320" s="224" t="s">
        <v>35</v>
      </c>
      <c r="I320" s="224" t="s">
        <v>35</v>
      </c>
      <c r="J320" s="224" t="s">
        <v>25</v>
      </c>
      <c r="K320" s="225">
        <v>45666</v>
      </c>
      <c r="L320" s="226" t="s">
        <v>2084</v>
      </c>
      <c r="M320" s="226"/>
      <c r="N320" s="226"/>
      <c r="O320" s="222"/>
    </row>
    <row r="321" spans="1:15" s="227" customFormat="1">
      <c r="A321" s="221" t="s">
        <v>1155</v>
      </c>
      <c r="B321" s="222">
        <v>1</v>
      </c>
      <c r="C321" s="222" t="s">
        <v>1158</v>
      </c>
      <c r="D321" s="223" t="s">
        <v>2082</v>
      </c>
      <c r="E321" s="224" t="s">
        <v>35</v>
      </c>
      <c r="F321" s="224" t="s">
        <v>2098</v>
      </c>
      <c r="G321" s="224" t="s">
        <v>2138</v>
      </c>
      <c r="H321" s="224" t="s">
        <v>35</v>
      </c>
      <c r="I321" s="224" t="s">
        <v>35</v>
      </c>
      <c r="J321" s="224" t="s">
        <v>25</v>
      </c>
      <c r="K321" s="225">
        <v>45666</v>
      </c>
      <c r="L321" s="226" t="s">
        <v>2084</v>
      </c>
      <c r="M321" s="226"/>
      <c r="N321" s="226"/>
      <c r="O321" s="222"/>
    </row>
    <row r="322" spans="1:15" s="227" customFormat="1">
      <c r="A322" s="221" t="s">
        <v>1155</v>
      </c>
      <c r="B322" s="222">
        <v>1</v>
      </c>
      <c r="C322" s="222" t="s">
        <v>1158</v>
      </c>
      <c r="D322" s="223" t="s">
        <v>2082</v>
      </c>
      <c r="E322" s="224" t="s">
        <v>35</v>
      </c>
      <c r="F322" s="224" t="s">
        <v>2099</v>
      </c>
      <c r="G322" s="224" t="s">
        <v>2138</v>
      </c>
      <c r="H322" s="224" t="s">
        <v>35</v>
      </c>
      <c r="I322" s="224" t="s">
        <v>35</v>
      </c>
      <c r="J322" s="224" t="s">
        <v>25</v>
      </c>
      <c r="K322" s="225">
        <v>45666</v>
      </c>
      <c r="L322" s="226" t="s">
        <v>2084</v>
      </c>
      <c r="M322" s="226"/>
      <c r="N322" s="226"/>
      <c r="O322" s="222"/>
    </row>
    <row r="323" spans="1:15" s="227" customFormat="1">
      <c r="A323" s="221" t="s">
        <v>1155</v>
      </c>
      <c r="B323" s="222">
        <v>1</v>
      </c>
      <c r="C323" s="222" t="s">
        <v>1158</v>
      </c>
      <c r="D323" s="223" t="s">
        <v>2082</v>
      </c>
      <c r="E323" s="224" t="s">
        <v>35</v>
      </c>
      <c r="F323" s="224" t="s">
        <v>2100</v>
      </c>
      <c r="G323" s="224" t="s">
        <v>2138</v>
      </c>
      <c r="H323" s="224" t="s">
        <v>35</v>
      </c>
      <c r="I323" s="224" t="s">
        <v>35</v>
      </c>
      <c r="J323" s="224" t="s">
        <v>25</v>
      </c>
      <c r="K323" s="225">
        <v>45666</v>
      </c>
      <c r="L323" s="226" t="s">
        <v>2084</v>
      </c>
      <c r="M323" s="226"/>
      <c r="N323" s="226"/>
      <c r="O323" s="222"/>
    </row>
    <row r="324" spans="1:15" s="227" customFormat="1">
      <c r="A324" s="221" t="s">
        <v>1155</v>
      </c>
      <c r="B324" s="222">
        <v>1</v>
      </c>
      <c r="C324" s="222" t="s">
        <v>1158</v>
      </c>
      <c r="D324" s="223" t="s">
        <v>2082</v>
      </c>
      <c r="E324" s="224" t="s">
        <v>35</v>
      </c>
      <c r="F324" s="224" t="s">
        <v>2101</v>
      </c>
      <c r="G324" s="224" t="s">
        <v>2138</v>
      </c>
      <c r="H324" s="224" t="s">
        <v>35</v>
      </c>
      <c r="I324" s="224" t="s">
        <v>35</v>
      </c>
      <c r="J324" s="224" t="s">
        <v>25</v>
      </c>
      <c r="K324" s="225">
        <v>45666</v>
      </c>
      <c r="L324" s="226" t="s">
        <v>2084</v>
      </c>
      <c r="M324" s="226"/>
      <c r="N324" s="226"/>
      <c r="O324" s="222"/>
    </row>
    <row r="325" spans="1:15" s="227" customFormat="1">
      <c r="A325" s="221" t="s">
        <v>1155</v>
      </c>
      <c r="B325" s="222">
        <v>1</v>
      </c>
      <c r="C325" s="222" t="s">
        <v>1158</v>
      </c>
      <c r="D325" s="223" t="s">
        <v>2082</v>
      </c>
      <c r="E325" s="224" t="s">
        <v>35</v>
      </c>
      <c r="F325" s="224" t="s">
        <v>2102</v>
      </c>
      <c r="G325" s="224" t="s">
        <v>2138</v>
      </c>
      <c r="H325" s="224" t="s">
        <v>35</v>
      </c>
      <c r="I325" s="224" t="s">
        <v>35</v>
      </c>
      <c r="J325" s="224" t="s">
        <v>25</v>
      </c>
      <c r="K325" s="225">
        <v>45666</v>
      </c>
      <c r="L325" s="226" t="s">
        <v>2084</v>
      </c>
      <c r="M325" s="226"/>
      <c r="N325" s="226"/>
      <c r="O325" s="222"/>
    </row>
    <row r="326" spans="1:15" s="227" customFormat="1">
      <c r="A326" s="221" t="s">
        <v>1155</v>
      </c>
      <c r="B326" s="222">
        <v>1</v>
      </c>
      <c r="C326" s="222" t="s">
        <v>1158</v>
      </c>
      <c r="D326" s="223" t="s">
        <v>2082</v>
      </c>
      <c r="E326" s="224" t="s">
        <v>35</v>
      </c>
      <c r="F326" s="224" t="s">
        <v>2103</v>
      </c>
      <c r="G326" s="224" t="s">
        <v>2138</v>
      </c>
      <c r="H326" s="224" t="s">
        <v>35</v>
      </c>
      <c r="I326" s="224" t="s">
        <v>35</v>
      </c>
      <c r="J326" s="224" t="s">
        <v>25</v>
      </c>
      <c r="K326" s="225">
        <v>45666</v>
      </c>
      <c r="L326" s="226" t="s">
        <v>2084</v>
      </c>
      <c r="M326" s="226"/>
      <c r="N326" s="226"/>
      <c r="O326" s="222"/>
    </row>
    <row r="327" spans="1:15" s="227" customFormat="1">
      <c r="A327" s="221" t="s">
        <v>1155</v>
      </c>
      <c r="B327" s="222">
        <v>1</v>
      </c>
      <c r="C327" s="222" t="s">
        <v>1158</v>
      </c>
      <c r="D327" s="223" t="s">
        <v>2082</v>
      </c>
      <c r="E327" s="224" t="s">
        <v>35</v>
      </c>
      <c r="F327" s="224" t="s">
        <v>2104</v>
      </c>
      <c r="G327" s="224" t="s">
        <v>2138</v>
      </c>
      <c r="H327" s="224" t="s">
        <v>35</v>
      </c>
      <c r="I327" s="224" t="s">
        <v>35</v>
      </c>
      <c r="J327" s="224" t="s">
        <v>25</v>
      </c>
      <c r="K327" s="225">
        <v>45666</v>
      </c>
      <c r="L327" s="226" t="s">
        <v>2084</v>
      </c>
      <c r="M327" s="226"/>
      <c r="N327" s="226"/>
      <c r="O327" s="222"/>
    </row>
    <row r="328" spans="1:15" s="227" customFormat="1">
      <c r="A328" s="221" t="s">
        <v>1155</v>
      </c>
      <c r="B328" s="222">
        <v>1</v>
      </c>
      <c r="C328" s="222" t="s">
        <v>1158</v>
      </c>
      <c r="D328" s="223" t="s">
        <v>2082</v>
      </c>
      <c r="E328" s="224" t="s">
        <v>35</v>
      </c>
      <c r="F328" s="224" t="s">
        <v>2105</v>
      </c>
      <c r="G328" s="224" t="s">
        <v>2138</v>
      </c>
      <c r="H328" s="224" t="s">
        <v>35</v>
      </c>
      <c r="I328" s="224" t="s">
        <v>35</v>
      </c>
      <c r="J328" s="224" t="s">
        <v>25</v>
      </c>
      <c r="K328" s="225">
        <v>45666</v>
      </c>
      <c r="L328" s="226" t="s">
        <v>2084</v>
      </c>
      <c r="M328" s="226"/>
      <c r="N328" s="226"/>
      <c r="O328" s="222"/>
    </row>
    <row r="329" spans="1:15" s="227" customFormat="1">
      <c r="A329" s="221" t="s">
        <v>1155</v>
      </c>
      <c r="B329" s="222">
        <v>1</v>
      </c>
      <c r="C329" s="222" t="s">
        <v>1158</v>
      </c>
      <c r="D329" s="223" t="s">
        <v>2082</v>
      </c>
      <c r="E329" s="224" t="s">
        <v>35</v>
      </c>
      <c r="F329" s="224" t="s">
        <v>2106</v>
      </c>
      <c r="G329" s="224" t="s">
        <v>2138</v>
      </c>
      <c r="H329" s="224" t="s">
        <v>35</v>
      </c>
      <c r="I329" s="224" t="s">
        <v>35</v>
      </c>
      <c r="J329" s="224" t="s">
        <v>25</v>
      </c>
      <c r="K329" s="225">
        <v>45666</v>
      </c>
      <c r="L329" s="226" t="s">
        <v>2084</v>
      </c>
      <c r="M329" s="226"/>
      <c r="N329" s="226"/>
      <c r="O329" s="222"/>
    </row>
    <row r="330" spans="1:15" s="227" customFormat="1">
      <c r="A330" s="221" t="s">
        <v>1155</v>
      </c>
      <c r="B330" s="222">
        <v>1</v>
      </c>
      <c r="C330" s="222" t="s">
        <v>1158</v>
      </c>
      <c r="D330" s="223" t="s">
        <v>2082</v>
      </c>
      <c r="E330" s="224" t="s">
        <v>35</v>
      </c>
      <c r="F330" s="224" t="s">
        <v>2107</v>
      </c>
      <c r="G330" s="224" t="s">
        <v>2138</v>
      </c>
      <c r="H330" s="224" t="s">
        <v>35</v>
      </c>
      <c r="I330" s="224" t="s">
        <v>35</v>
      </c>
      <c r="J330" s="224" t="s">
        <v>25</v>
      </c>
      <c r="K330" s="225">
        <v>45666</v>
      </c>
      <c r="L330" s="226" t="s">
        <v>2084</v>
      </c>
      <c r="M330" s="226"/>
      <c r="N330" s="226"/>
      <c r="O330" s="222"/>
    </row>
    <row r="331" spans="1:15" s="227" customFormat="1">
      <c r="A331" s="221" t="s">
        <v>1155</v>
      </c>
      <c r="B331" s="222">
        <v>1</v>
      </c>
      <c r="C331" s="222" t="s">
        <v>1158</v>
      </c>
      <c r="D331" s="223" t="s">
        <v>2082</v>
      </c>
      <c r="E331" s="224" t="s">
        <v>35</v>
      </c>
      <c r="F331" s="224" t="s">
        <v>2108</v>
      </c>
      <c r="G331" s="224" t="s">
        <v>2138</v>
      </c>
      <c r="H331" s="224" t="s">
        <v>35</v>
      </c>
      <c r="I331" s="224" t="s">
        <v>35</v>
      </c>
      <c r="J331" s="224" t="s">
        <v>25</v>
      </c>
      <c r="K331" s="225">
        <v>45666</v>
      </c>
      <c r="L331" s="226" t="s">
        <v>2084</v>
      </c>
      <c r="M331" s="226"/>
      <c r="N331" s="226"/>
      <c r="O331" s="222"/>
    </row>
    <row r="332" spans="1:15" s="227" customFormat="1">
      <c r="A332" s="221" t="s">
        <v>1155</v>
      </c>
      <c r="B332" s="222">
        <v>1</v>
      </c>
      <c r="C332" s="222" t="s">
        <v>1158</v>
      </c>
      <c r="D332" s="223" t="s">
        <v>2082</v>
      </c>
      <c r="E332" s="224" t="s">
        <v>35</v>
      </c>
      <c r="F332" s="224" t="s">
        <v>2109</v>
      </c>
      <c r="G332" s="224" t="s">
        <v>2138</v>
      </c>
      <c r="H332" s="224" t="s">
        <v>35</v>
      </c>
      <c r="I332" s="224" t="s">
        <v>35</v>
      </c>
      <c r="J332" s="224" t="s">
        <v>25</v>
      </c>
      <c r="K332" s="225">
        <v>45666</v>
      </c>
      <c r="L332" s="226" t="s">
        <v>2084</v>
      </c>
      <c r="M332" s="226"/>
      <c r="N332" s="226"/>
      <c r="O332" s="222"/>
    </row>
    <row r="333" spans="1:15" s="227" customFormat="1">
      <c r="A333" s="221" t="s">
        <v>1155</v>
      </c>
      <c r="B333" s="222">
        <v>1</v>
      </c>
      <c r="C333" s="222" t="s">
        <v>1158</v>
      </c>
      <c r="D333" s="223" t="s">
        <v>2082</v>
      </c>
      <c r="E333" s="224" t="s">
        <v>35</v>
      </c>
      <c r="F333" s="224" t="s">
        <v>2110</v>
      </c>
      <c r="G333" s="224" t="s">
        <v>2138</v>
      </c>
      <c r="H333" s="224" t="s">
        <v>35</v>
      </c>
      <c r="I333" s="224" t="s">
        <v>35</v>
      </c>
      <c r="J333" s="224" t="s">
        <v>25</v>
      </c>
      <c r="K333" s="225">
        <v>45666</v>
      </c>
      <c r="L333" s="226" t="s">
        <v>2084</v>
      </c>
      <c r="M333" s="226"/>
      <c r="N333" s="226"/>
      <c r="O333" s="222"/>
    </row>
    <row r="334" spans="1:15" s="227" customFormat="1">
      <c r="A334" s="221" t="s">
        <v>1155</v>
      </c>
      <c r="B334" s="222">
        <v>1</v>
      </c>
      <c r="C334" s="222" t="s">
        <v>1158</v>
      </c>
      <c r="D334" s="223" t="s">
        <v>2082</v>
      </c>
      <c r="E334" s="224" t="s">
        <v>35</v>
      </c>
      <c r="F334" s="224" t="s">
        <v>2111</v>
      </c>
      <c r="G334" s="224" t="s">
        <v>2138</v>
      </c>
      <c r="H334" s="224" t="s">
        <v>35</v>
      </c>
      <c r="I334" s="224" t="s">
        <v>35</v>
      </c>
      <c r="J334" s="224" t="s">
        <v>25</v>
      </c>
      <c r="K334" s="225">
        <v>45666</v>
      </c>
      <c r="L334" s="226" t="s">
        <v>2084</v>
      </c>
      <c r="M334" s="226"/>
      <c r="N334" s="226"/>
      <c r="O334" s="222"/>
    </row>
    <row r="335" spans="1:15" s="227" customFormat="1">
      <c r="A335" s="221" t="s">
        <v>1155</v>
      </c>
      <c r="B335" s="222">
        <v>1</v>
      </c>
      <c r="C335" s="222" t="s">
        <v>1158</v>
      </c>
      <c r="D335" s="223" t="s">
        <v>2082</v>
      </c>
      <c r="E335" s="224" t="s">
        <v>35</v>
      </c>
      <c r="F335" s="224" t="s">
        <v>2112</v>
      </c>
      <c r="G335" s="224" t="s">
        <v>2138</v>
      </c>
      <c r="H335" s="224" t="s">
        <v>35</v>
      </c>
      <c r="I335" s="224" t="s">
        <v>35</v>
      </c>
      <c r="J335" s="224" t="s">
        <v>25</v>
      </c>
      <c r="K335" s="225">
        <v>45666</v>
      </c>
      <c r="L335" s="226" t="s">
        <v>2084</v>
      </c>
      <c r="M335" s="226"/>
      <c r="N335" s="226"/>
      <c r="O335" s="222"/>
    </row>
    <row r="336" spans="1:15" s="227" customFormat="1">
      <c r="A336" s="221" t="s">
        <v>1155</v>
      </c>
      <c r="B336" s="222">
        <v>1</v>
      </c>
      <c r="C336" s="222" t="s">
        <v>1158</v>
      </c>
      <c r="D336" s="223" t="s">
        <v>2082</v>
      </c>
      <c r="E336" s="224" t="s">
        <v>35</v>
      </c>
      <c r="F336" s="224" t="s">
        <v>2113</v>
      </c>
      <c r="G336" s="224" t="s">
        <v>2138</v>
      </c>
      <c r="H336" s="224" t="s">
        <v>35</v>
      </c>
      <c r="I336" s="224" t="s">
        <v>35</v>
      </c>
      <c r="J336" s="224" t="s">
        <v>25</v>
      </c>
      <c r="K336" s="225">
        <v>45666</v>
      </c>
      <c r="L336" s="226" t="s">
        <v>2084</v>
      </c>
      <c r="M336" s="226"/>
      <c r="N336" s="226"/>
      <c r="O336" s="222"/>
    </row>
    <row r="337" spans="1:15" s="227" customFormat="1">
      <c r="A337" s="221" t="s">
        <v>1155</v>
      </c>
      <c r="B337" s="222">
        <v>1</v>
      </c>
      <c r="C337" s="222" t="s">
        <v>1158</v>
      </c>
      <c r="D337" s="223" t="s">
        <v>2082</v>
      </c>
      <c r="E337" s="224" t="s">
        <v>35</v>
      </c>
      <c r="F337" s="224" t="s">
        <v>2114</v>
      </c>
      <c r="G337" s="224" t="s">
        <v>2138</v>
      </c>
      <c r="H337" s="224" t="s">
        <v>35</v>
      </c>
      <c r="I337" s="224" t="s">
        <v>35</v>
      </c>
      <c r="J337" s="224" t="s">
        <v>25</v>
      </c>
      <c r="K337" s="225">
        <v>45666</v>
      </c>
      <c r="L337" s="226" t="s">
        <v>2084</v>
      </c>
      <c r="M337" s="226"/>
      <c r="N337" s="226"/>
      <c r="O337" s="222"/>
    </row>
    <row r="338" spans="1:15" s="227" customFormat="1">
      <c r="A338" s="221" t="s">
        <v>1155</v>
      </c>
      <c r="B338" s="222">
        <v>1</v>
      </c>
      <c r="C338" s="222" t="s">
        <v>1158</v>
      </c>
      <c r="D338" s="223" t="s">
        <v>2082</v>
      </c>
      <c r="E338" s="224" t="s">
        <v>35</v>
      </c>
      <c r="F338" s="224" t="s">
        <v>2115</v>
      </c>
      <c r="G338" s="224" t="s">
        <v>2138</v>
      </c>
      <c r="H338" s="224" t="s">
        <v>35</v>
      </c>
      <c r="I338" s="224" t="s">
        <v>35</v>
      </c>
      <c r="J338" s="224" t="s">
        <v>25</v>
      </c>
      <c r="K338" s="225">
        <v>45666</v>
      </c>
      <c r="L338" s="226" t="s">
        <v>2084</v>
      </c>
      <c r="M338" s="226"/>
      <c r="N338" s="226"/>
      <c r="O338" s="222"/>
    </row>
    <row r="339" spans="1:15" s="227" customFormat="1">
      <c r="A339" s="221" t="s">
        <v>1155</v>
      </c>
      <c r="B339" s="222">
        <v>1</v>
      </c>
      <c r="C339" s="222" t="s">
        <v>1158</v>
      </c>
      <c r="D339" s="223" t="s">
        <v>2082</v>
      </c>
      <c r="E339" s="224" t="s">
        <v>35</v>
      </c>
      <c r="F339" s="224" t="s">
        <v>2116</v>
      </c>
      <c r="G339" s="224" t="s">
        <v>2138</v>
      </c>
      <c r="H339" s="224" t="s">
        <v>35</v>
      </c>
      <c r="I339" s="224" t="s">
        <v>35</v>
      </c>
      <c r="J339" s="224" t="s">
        <v>25</v>
      </c>
      <c r="K339" s="225">
        <v>45666</v>
      </c>
      <c r="L339" s="226" t="s">
        <v>2084</v>
      </c>
      <c r="M339" s="226"/>
      <c r="N339" s="226"/>
      <c r="O339" s="222"/>
    </row>
    <row r="340" spans="1:15" s="227" customFormat="1">
      <c r="A340" s="221" t="s">
        <v>1155</v>
      </c>
      <c r="B340" s="222">
        <v>1</v>
      </c>
      <c r="C340" s="222" t="s">
        <v>1158</v>
      </c>
      <c r="D340" s="223" t="s">
        <v>2082</v>
      </c>
      <c r="E340" s="224" t="s">
        <v>35</v>
      </c>
      <c r="F340" s="224" t="s">
        <v>2117</v>
      </c>
      <c r="G340" s="224" t="s">
        <v>2138</v>
      </c>
      <c r="H340" s="224" t="s">
        <v>35</v>
      </c>
      <c r="I340" s="224" t="s">
        <v>35</v>
      </c>
      <c r="J340" s="224" t="s">
        <v>25</v>
      </c>
      <c r="K340" s="225">
        <v>45666</v>
      </c>
      <c r="L340" s="226" t="s">
        <v>2084</v>
      </c>
      <c r="M340" s="226"/>
      <c r="N340" s="226"/>
      <c r="O340" s="222"/>
    </row>
    <row r="341" spans="1:15" s="227" customFormat="1">
      <c r="A341" s="221" t="s">
        <v>1155</v>
      </c>
      <c r="B341" s="222">
        <v>1</v>
      </c>
      <c r="C341" s="222" t="s">
        <v>1158</v>
      </c>
      <c r="D341" s="223" t="s">
        <v>2082</v>
      </c>
      <c r="E341" s="224" t="s">
        <v>35</v>
      </c>
      <c r="F341" s="224" t="s">
        <v>2118</v>
      </c>
      <c r="G341" s="224" t="s">
        <v>2138</v>
      </c>
      <c r="H341" s="224" t="s">
        <v>35</v>
      </c>
      <c r="I341" s="224" t="s">
        <v>35</v>
      </c>
      <c r="J341" s="224" t="s">
        <v>25</v>
      </c>
      <c r="K341" s="225">
        <v>45666</v>
      </c>
      <c r="L341" s="226" t="s">
        <v>2084</v>
      </c>
      <c r="M341" s="226"/>
      <c r="N341" s="226"/>
      <c r="O341" s="222"/>
    </row>
    <row r="342" spans="1:15" s="227" customFormat="1">
      <c r="A342" s="221" t="s">
        <v>1155</v>
      </c>
      <c r="B342" s="222">
        <v>1</v>
      </c>
      <c r="C342" s="222" t="s">
        <v>1158</v>
      </c>
      <c r="D342" s="223" t="s">
        <v>2082</v>
      </c>
      <c r="E342" s="224" t="s">
        <v>35</v>
      </c>
      <c r="F342" s="224" t="s">
        <v>2119</v>
      </c>
      <c r="G342" s="224" t="s">
        <v>2138</v>
      </c>
      <c r="H342" s="224" t="s">
        <v>35</v>
      </c>
      <c r="I342" s="224" t="s">
        <v>35</v>
      </c>
      <c r="J342" s="224" t="s">
        <v>25</v>
      </c>
      <c r="K342" s="225">
        <v>45666</v>
      </c>
      <c r="L342" s="226" t="s">
        <v>2084</v>
      </c>
      <c r="M342" s="226"/>
      <c r="N342" s="226"/>
      <c r="O342" s="222"/>
    </row>
    <row r="343" spans="1:15" s="227" customFormat="1">
      <c r="A343" s="221" t="s">
        <v>1155</v>
      </c>
      <c r="B343" s="222">
        <v>1</v>
      </c>
      <c r="C343" s="222" t="s">
        <v>1158</v>
      </c>
      <c r="D343" s="223" t="s">
        <v>2082</v>
      </c>
      <c r="E343" s="224" t="s">
        <v>35</v>
      </c>
      <c r="F343" s="224" t="s">
        <v>2120</v>
      </c>
      <c r="G343" s="224" t="s">
        <v>2138</v>
      </c>
      <c r="H343" s="224" t="s">
        <v>35</v>
      </c>
      <c r="I343" s="224" t="s">
        <v>35</v>
      </c>
      <c r="J343" s="224" t="s">
        <v>25</v>
      </c>
      <c r="K343" s="225">
        <v>45666</v>
      </c>
      <c r="L343" s="226" t="s">
        <v>2084</v>
      </c>
      <c r="M343" s="226"/>
      <c r="N343" s="226"/>
      <c r="O343" s="222"/>
    </row>
    <row r="344" spans="1:15" s="227" customFormat="1">
      <c r="A344" s="221" t="s">
        <v>1155</v>
      </c>
      <c r="B344" s="222">
        <v>1</v>
      </c>
      <c r="C344" s="222" t="s">
        <v>1158</v>
      </c>
      <c r="D344" s="223" t="s">
        <v>2082</v>
      </c>
      <c r="E344" s="224" t="s">
        <v>35</v>
      </c>
      <c r="F344" s="224" t="s">
        <v>2121</v>
      </c>
      <c r="G344" s="224" t="s">
        <v>2138</v>
      </c>
      <c r="H344" s="224" t="s">
        <v>35</v>
      </c>
      <c r="I344" s="224" t="s">
        <v>35</v>
      </c>
      <c r="J344" s="224" t="s">
        <v>25</v>
      </c>
      <c r="K344" s="225">
        <v>45666</v>
      </c>
      <c r="L344" s="226" t="s">
        <v>2084</v>
      </c>
      <c r="M344" s="226"/>
      <c r="N344" s="226"/>
      <c r="O344" s="222"/>
    </row>
    <row r="345" spans="1:15" s="227" customFormat="1">
      <c r="A345" s="221" t="s">
        <v>1155</v>
      </c>
      <c r="B345" s="222">
        <v>1</v>
      </c>
      <c r="C345" s="222" t="s">
        <v>1158</v>
      </c>
      <c r="D345" s="223" t="s">
        <v>2082</v>
      </c>
      <c r="E345" s="224" t="s">
        <v>35</v>
      </c>
      <c r="F345" s="224" t="s">
        <v>2122</v>
      </c>
      <c r="G345" s="224" t="s">
        <v>2138</v>
      </c>
      <c r="H345" s="224" t="s">
        <v>35</v>
      </c>
      <c r="I345" s="224" t="s">
        <v>35</v>
      </c>
      <c r="J345" s="224" t="s">
        <v>25</v>
      </c>
      <c r="K345" s="225">
        <v>45666</v>
      </c>
      <c r="L345" s="226" t="s">
        <v>2084</v>
      </c>
      <c r="M345" s="226"/>
      <c r="N345" s="226"/>
      <c r="O345" s="222"/>
    </row>
    <row r="346" spans="1:15" s="227" customFormat="1">
      <c r="A346" s="221" t="s">
        <v>1155</v>
      </c>
      <c r="B346" s="222">
        <v>1</v>
      </c>
      <c r="C346" s="222" t="s">
        <v>1158</v>
      </c>
      <c r="D346" s="223" t="s">
        <v>2082</v>
      </c>
      <c r="E346" s="224" t="s">
        <v>35</v>
      </c>
      <c r="F346" s="224" t="s">
        <v>2123</v>
      </c>
      <c r="G346" s="224" t="s">
        <v>2138</v>
      </c>
      <c r="H346" s="224" t="s">
        <v>35</v>
      </c>
      <c r="I346" s="224" t="s">
        <v>35</v>
      </c>
      <c r="J346" s="224" t="s">
        <v>25</v>
      </c>
      <c r="K346" s="225">
        <v>45666</v>
      </c>
      <c r="L346" s="226" t="s">
        <v>2084</v>
      </c>
      <c r="M346" s="226"/>
      <c r="N346" s="226"/>
      <c r="O346" s="222"/>
    </row>
    <row r="347" spans="1:15" s="227" customFormat="1">
      <c r="A347" s="221" t="s">
        <v>1155</v>
      </c>
      <c r="B347" s="222">
        <v>1</v>
      </c>
      <c r="C347" s="222" t="s">
        <v>1158</v>
      </c>
      <c r="D347" s="223" t="s">
        <v>2082</v>
      </c>
      <c r="E347" s="224" t="s">
        <v>35</v>
      </c>
      <c r="F347" s="224" t="s">
        <v>2124</v>
      </c>
      <c r="G347" s="224" t="s">
        <v>2138</v>
      </c>
      <c r="H347" s="224" t="s">
        <v>35</v>
      </c>
      <c r="I347" s="224" t="s">
        <v>35</v>
      </c>
      <c r="J347" s="224" t="s">
        <v>25</v>
      </c>
      <c r="K347" s="225">
        <v>45666</v>
      </c>
      <c r="L347" s="226" t="s">
        <v>2084</v>
      </c>
      <c r="M347" s="226"/>
      <c r="N347" s="226"/>
      <c r="O347" s="222"/>
    </row>
    <row r="348" spans="1:15" s="227" customFormat="1">
      <c r="A348" s="221" t="s">
        <v>1155</v>
      </c>
      <c r="B348" s="222">
        <v>1</v>
      </c>
      <c r="C348" s="222" t="s">
        <v>1158</v>
      </c>
      <c r="D348" s="223" t="s">
        <v>2082</v>
      </c>
      <c r="E348" s="224" t="s">
        <v>35</v>
      </c>
      <c r="F348" s="224" t="s">
        <v>2125</v>
      </c>
      <c r="G348" s="224" t="s">
        <v>2138</v>
      </c>
      <c r="H348" s="224" t="s">
        <v>35</v>
      </c>
      <c r="I348" s="224" t="s">
        <v>35</v>
      </c>
      <c r="J348" s="224" t="s">
        <v>25</v>
      </c>
      <c r="K348" s="225">
        <v>45666</v>
      </c>
      <c r="L348" s="226" t="s">
        <v>2084</v>
      </c>
      <c r="M348" s="226"/>
      <c r="N348" s="226"/>
      <c r="O348" s="222"/>
    </row>
    <row r="349" spans="1:15" s="227" customFormat="1">
      <c r="A349" s="221" t="s">
        <v>1155</v>
      </c>
      <c r="B349" s="222">
        <v>1</v>
      </c>
      <c r="C349" s="222" t="s">
        <v>1158</v>
      </c>
      <c r="D349" s="223" t="s">
        <v>2082</v>
      </c>
      <c r="E349" s="224" t="s">
        <v>35</v>
      </c>
      <c r="F349" s="224" t="s">
        <v>2126</v>
      </c>
      <c r="G349" s="224" t="s">
        <v>2138</v>
      </c>
      <c r="H349" s="224" t="s">
        <v>35</v>
      </c>
      <c r="I349" s="224" t="s">
        <v>35</v>
      </c>
      <c r="J349" s="224" t="s">
        <v>25</v>
      </c>
      <c r="K349" s="225">
        <v>45666</v>
      </c>
      <c r="L349" s="226" t="s">
        <v>2084</v>
      </c>
      <c r="M349" s="226"/>
      <c r="N349" s="226"/>
      <c r="O349" s="222"/>
    </row>
    <row r="350" spans="1:15" s="227" customFormat="1">
      <c r="A350" s="221" t="s">
        <v>1155</v>
      </c>
      <c r="B350" s="222">
        <v>1</v>
      </c>
      <c r="C350" s="222" t="s">
        <v>1158</v>
      </c>
      <c r="D350" s="223" t="s">
        <v>2082</v>
      </c>
      <c r="E350" s="224" t="s">
        <v>35</v>
      </c>
      <c r="F350" s="224" t="s">
        <v>2127</v>
      </c>
      <c r="G350" s="224" t="s">
        <v>2138</v>
      </c>
      <c r="H350" s="224" t="s">
        <v>35</v>
      </c>
      <c r="I350" s="224" t="s">
        <v>35</v>
      </c>
      <c r="J350" s="224" t="s">
        <v>25</v>
      </c>
      <c r="K350" s="225">
        <v>45666</v>
      </c>
      <c r="L350" s="226" t="s">
        <v>2084</v>
      </c>
      <c r="M350" s="226"/>
      <c r="N350" s="226"/>
      <c r="O350" s="222"/>
    </row>
    <row r="351" spans="1:15" s="227" customFormat="1">
      <c r="A351" s="221" t="s">
        <v>1155</v>
      </c>
      <c r="B351" s="222">
        <v>1</v>
      </c>
      <c r="C351" s="222" t="s">
        <v>1158</v>
      </c>
      <c r="D351" s="223" t="s">
        <v>2082</v>
      </c>
      <c r="E351" s="224" t="s">
        <v>35</v>
      </c>
      <c r="F351" s="224" t="s">
        <v>2128</v>
      </c>
      <c r="G351" s="224" t="s">
        <v>2138</v>
      </c>
      <c r="H351" s="224" t="s">
        <v>35</v>
      </c>
      <c r="I351" s="224" t="s">
        <v>35</v>
      </c>
      <c r="J351" s="224" t="s">
        <v>25</v>
      </c>
      <c r="K351" s="225">
        <v>45666</v>
      </c>
      <c r="L351" s="226" t="s">
        <v>2084</v>
      </c>
      <c r="M351" s="226"/>
      <c r="N351" s="226"/>
      <c r="O351" s="222"/>
    </row>
    <row r="352" spans="1:15" s="227" customFormat="1">
      <c r="A352" s="221" t="s">
        <v>1155</v>
      </c>
      <c r="B352" s="222">
        <v>1</v>
      </c>
      <c r="C352" s="222" t="s">
        <v>1158</v>
      </c>
      <c r="D352" s="223" t="s">
        <v>2082</v>
      </c>
      <c r="E352" s="224" t="s">
        <v>35</v>
      </c>
      <c r="F352" s="224" t="s">
        <v>2129</v>
      </c>
      <c r="G352" s="224" t="s">
        <v>2138</v>
      </c>
      <c r="H352" s="224" t="s">
        <v>35</v>
      </c>
      <c r="I352" s="224" t="s">
        <v>35</v>
      </c>
      <c r="J352" s="224" t="s">
        <v>25</v>
      </c>
      <c r="K352" s="225">
        <v>45666</v>
      </c>
      <c r="L352" s="226" t="s">
        <v>2084</v>
      </c>
      <c r="M352" s="226"/>
      <c r="N352" s="226"/>
      <c r="O352" s="222"/>
    </row>
    <row r="353" spans="1:15" s="227" customFormat="1">
      <c r="A353" s="221" t="s">
        <v>1155</v>
      </c>
      <c r="B353" s="222">
        <v>1</v>
      </c>
      <c r="C353" s="222" t="s">
        <v>1158</v>
      </c>
      <c r="D353" s="223" t="s">
        <v>2082</v>
      </c>
      <c r="E353" s="224" t="s">
        <v>35</v>
      </c>
      <c r="F353" s="224" t="s">
        <v>2130</v>
      </c>
      <c r="G353" s="224" t="s">
        <v>2138</v>
      </c>
      <c r="H353" s="224" t="s">
        <v>35</v>
      </c>
      <c r="I353" s="224" t="s">
        <v>35</v>
      </c>
      <c r="J353" s="224" t="s">
        <v>25</v>
      </c>
      <c r="K353" s="225">
        <v>45666</v>
      </c>
      <c r="L353" s="226" t="s">
        <v>2084</v>
      </c>
      <c r="M353" s="226"/>
      <c r="N353" s="226"/>
      <c r="O353" s="222"/>
    </row>
    <row r="354" spans="1:15" s="227" customFormat="1">
      <c r="A354" s="221" t="s">
        <v>1155</v>
      </c>
      <c r="B354" s="222">
        <v>1</v>
      </c>
      <c r="C354" s="222" t="s">
        <v>1158</v>
      </c>
      <c r="D354" s="223" t="s">
        <v>2082</v>
      </c>
      <c r="E354" s="224" t="s">
        <v>35</v>
      </c>
      <c r="F354" s="224" t="s">
        <v>2131</v>
      </c>
      <c r="G354" s="224" t="s">
        <v>2138</v>
      </c>
      <c r="H354" s="224" t="s">
        <v>35</v>
      </c>
      <c r="I354" s="224" t="s">
        <v>35</v>
      </c>
      <c r="J354" s="224" t="s">
        <v>25</v>
      </c>
      <c r="K354" s="225">
        <v>45666</v>
      </c>
      <c r="L354" s="226" t="s">
        <v>2084</v>
      </c>
      <c r="M354" s="226"/>
      <c r="N354" s="226"/>
      <c r="O354" s="222"/>
    </row>
    <row r="355" spans="1:15" s="227" customFormat="1">
      <c r="A355" s="221" t="s">
        <v>1155</v>
      </c>
      <c r="B355" s="222">
        <v>1</v>
      </c>
      <c r="C355" s="222" t="s">
        <v>1158</v>
      </c>
      <c r="D355" s="223" t="s">
        <v>2082</v>
      </c>
      <c r="E355" s="224" t="s">
        <v>35</v>
      </c>
      <c r="F355" s="224" t="s">
        <v>2132</v>
      </c>
      <c r="G355" s="224" t="s">
        <v>2138</v>
      </c>
      <c r="H355" s="224" t="s">
        <v>35</v>
      </c>
      <c r="I355" s="224" t="s">
        <v>35</v>
      </c>
      <c r="J355" s="224" t="s">
        <v>25</v>
      </c>
      <c r="K355" s="225">
        <v>45666</v>
      </c>
      <c r="L355" s="226" t="s">
        <v>2084</v>
      </c>
      <c r="M355" s="226"/>
      <c r="N355" s="226"/>
      <c r="O355" s="222"/>
    </row>
    <row r="356" spans="1:15" s="227" customFormat="1">
      <c r="A356" s="221" t="s">
        <v>1155</v>
      </c>
      <c r="B356" s="222">
        <v>1</v>
      </c>
      <c r="C356" s="222" t="s">
        <v>1158</v>
      </c>
      <c r="D356" s="223" t="s">
        <v>2082</v>
      </c>
      <c r="E356" s="224" t="s">
        <v>35</v>
      </c>
      <c r="F356" s="224" t="s">
        <v>2133</v>
      </c>
      <c r="G356" s="224" t="s">
        <v>2138</v>
      </c>
      <c r="H356" s="224" t="s">
        <v>35</v>
      </c>
      <c r="I356" s="224" t="s">
        <v>35</v>
      </c>
      <c r="J356" s="224" t="s">
        <v>25</v>
      </c>
      <c r="K356" s="225">
        <v>45666</v>
      </c>
      <c r="L356" s="226" t="s">
        <v>2084</v>
      </c>
      <c r="M356" s="226"/>
      <c r="N356" s="226"/>
      <c r="O356" s="222"/>
    </row>
    <row r="357" spans="1:15" s="227" customFormat="1">
      <c r="A357" s="221" t="s">
        <v>1155</v>
      </c>
      <c r="B357" s="222">
        <v>1</v>
      </c>
      <c r="C357" s="222" t="s">
        <v>1158</v>
      </c>
      <c r="D357" s="223" t="s">
        <v>2082</v>
      </c>
      <c r="E357" s="224" t="s">
        <v>35</v>
      </c>
      <c r="F357" s="224" t="s">
        <v>2134</v>
      </c>
      <c r="G357" s="224" t="s">
        <v>2138</v>
      </c>
      <c r="H357" s="224" t="s">
        <v>35</v>
      </c>
      <c r="I357" s="224" t="s">
        <v>35</v>
      </c>
      <c r="J357" s="224" t="s">
        <v>25</v>
      </c>
      <c r="K357" s="225">
        <v>45666</v>
      </c>
      <c r="L357" s="226" t="s">
        <v>2084</v>
      </c>
      <c r="M357" s="226"/>
      <c r="N357" s="226"/>
      <c r="O357" s="222"/>
    </row>
    <row r="358" spans="1:15" s="227" customFormat="1">
      <c r="A358" s="221" t="s">
        <v>1155</v>
      </c>
      <c r="B358" s="222">
        <v>1</v>
      </c>
      <c r="C358" s="222" t="s">
        <v>1158</v>
      </c>
      <c r="D358" s="223" t="s">
        <v>2082</v>
      </c>
      <c r="E358" s="224" t="s">
        <v>35</v>
      </c>
      <c r="F358" s="224" t="s">
        <v>2135</v>
      </c>
      <c r="G358" s="224" t="s">
        <v>2138</v>
      </c>
      <c r="H358" s="224" t="s">
        <v>35</v>
      </c>
      <c r="I358" s="224" t="s">
        <v>35</v>
      </c>
      <c r="J358" s="224" t="s">
        <v>25</v>
      </c>
      <c r="K358" s="225">
        <v>45666</v>
      </c>
      <c r="L358" s="226" t="s">
        <v>2084</v>
      </c>
      <c r="M358" s="226"/>
      <c r="N358" s="226"/>
      <c r="O358" s="222"/>
    </row>
    <row r="359" spans="1:15" s="227" customFormat="1">
      <c r="A359" s="221" t="s">
        <v>1155</v>
      </c>
      <c r="B359" s="222">
        <v>1</v>
      </c>
      <c r="C359" s="222" t="s">
        <v>1158</v>
      </c>
      <c r="D359" s="223" t="s">
        <v>2082</v>
      </c>
      <c r="E359" s="224" t="s">
        <v>35</v>
      </c>
      <c r="F359" s="224" t="s">
        <v>2136</v>
      </c>
      <c r="G359" s="224" t="s">
        <v>2138</v>
      </c>
      <c r="H359" s="224" t="s">
        <v>35</v>
      </c>
      <c r="I359" s="224" t="s">
        <v>35</v>
      </c>
      <c r="J359" s="224" t="s">
        <v>25</v>
      </c>
      <c r="K359" s="225">
        <v>45666</v>
      </c>
      <c r="L359" s="226" t="s">
        <v>2084</v>
      </c>
      <c r="M359" s="226"/>
      <c r="N359" s="226"/>
      <c r="O359" s="222"/>
    </row>
    <row r="360" spans="1:15" s="227" customFormat="1">
      <c r="A360" s="221" t="s">
        <v>1155</v>
      </c>
      <c r="B360" s="222">
        <v>1</v>
      </c>
      <c r="C360" s="222" t="s">
        <v>1158</v>
      </c>
      <c r="D360" s="223" t="s">
        <v>2082</v>
      </c>
      <c r="E360" s="224" t="s">
        <v>35</v>
      </c>
      <c r="F360" s="224" t="s">
        <v>2137</v>
      </c>
      <c r="G360" s="224" t="s">
        <v>2138</v>
      </c>
      <c r="H360" s="224" t="s">
        <v>35</v>
      </c>
      <c r="I360" s="224" t="s">
        <v>35</v>
      </c>
      <c r="J360" s="224" t="s">
        <v>25</v>
      </c>
      <c r="K360" s="225">
        <v>45666</v>
      </c>
      <c r="L360" s="226" t="s">
        <v>2084</v>
      </c>
      <c r="M360" s="226"/>
      <c r="N360" s="226"/>
      <c r="O360" s="222"/>
    </row>
    <row r="361" spans="1:15" s="227" customFormat="1">
      <c r="A361" s="221" t="s">
        <v>2166</v>
      </c>
      <c r="B361" s="222">
        <v>1</v>
      </c>
      <c r="C361" s="222" t="s">
        <v>1158</v>
      </c>
      <c r="D361" s="223" t="s">
        <v>2167</v>
      </c>
      <c r="E361" s="224" t="s">
        <v>35</v>
      </c>
      <c r="F361" s="224" t="s">
        <v>2153</v>
      </c>
      <c r="G361" s="224" t="s">
        <v>2138</v>
      </c>
      <c r="H361" s="224" t="s">
        <v>35</v>
      </c>
      <c r="I361" s="224" t="s">
        <v>35</v>
      </c>
      <c r="J361" s="224" t="s">
        <v>25</v>
      </c>
      <c r="K361" s="225">
        <v>45673</v>
      </c>
      <c r="L361" s="226" t="s">
        <v>2084</v>
      </c>
      <c r="M361" s="226"/>
      <c r="N361" s="226"/>
      <c r="O361" s="222"/>
    </row>
    <row r="362" spans="1:15" s="227" customFormat="1">
      <c r="A362" s="221" t="s">
        <v>2166</v>
      </c>
      <c r="B362" s="222">
        <v>1</v>
      </c>
      <c r="C362" s="222" t="s">
        <v>1158</v>
      </c>
      <c r="D362" s="223" t="s">
        <v>2167</v>
      </c>
      <c r="E362" s="224" t="s">
        <v>35</v>
      </c>
      <c r="F362" s="224" t="s">
        <v>2168</v>
      </c>
      <c r="G362" s="224" t="s">
        <v>2138</v>
      </c>
      <c r="H362" s="224" t="s">
        <v>35</v>
      </c>
      <c r="I362" s="224" t="s">
        <v>35</v>
      </c>
      <c r="J362" s="224" t="s">
        <v>25</v>
      </c>
      <c r="K362" s="225">
        <v>45673</v>
      </c>
      <c r="L362" s="226" t="s">
        <v>2084</v>
      </c>
      <c r="M362" s="226"/>
      <c r="N362" s="226"/>
      <c r="O362" s="222"/>
    </row>
    <row r="363" spans="1:15" s="227" customFormat="1">
      <c r="A363" s="221" t="s">
        <v>2166</v>
      </c>
      <c r="B363" s="222">
        <v>1</v>
      </c>
      <c r="C363" s="222" t="s">
        <v>1158</v>
      </c>
      <c r="D363" s="223" t="s">
        <v>2167</v>
      </c>
      <c r="E363" s="224" t="s">
        <v>35</v>
      </c>
      <c r="F363" s="224" t="s">
        <v>2169</v>
      </c>
      <c r="G363" s="224" t="s">
        <v>2138</v>
      </c>
      <c r="H363" s="224" t="s">
        <v>35</v>
      </c>
      <c r="I363" s="224" t="s">
        <v>35</v>
      </c>
      <c r="J363" s="224" t="s">
        <v>25</v>
      </c>
      <c r="K363" s="225">
        <v>45673</v>
      </c>
      <c r="L363" s="226" t="s">
        <v>2084</v>
      </c>
      <c r="M363" s="226"/>
      <c r="N363" s="226"/>
      <c r="O363" s="222"/>
    </row>
    <row r="364" spans="1:15" s="227" customFormat="1">
      <c r="A364" s="221" t="s">
        <v>2166</v>
      </c>
      <c r="B364" s="222">
        <v>1</v>
      </c>
      <c r="C364" s="222" t="s">
        <v>1158</v>
      </c>
      <c r="D364" s="223" t="s">
        <v>2167</v>
      </c>
      <c r="E364" s="224" t="s">
        <v>35</v>
      </c>
      <c r="F364" s="224" t="s">
        <v>2170</v>
      </c>
      <c r="G364" s="224" t="s">
        <v>2138</v>
      </c>
      <c r="H364" s="224" t="s">
        <v>35</v>
      </c>
      <c r="I364" s="224" t="s">
        <v>35</v>
      </c>
      <c r="J364" s="224" t="s">
        <v>25</v>
      </c>
      <c r="K364" s="225">
        <v>45673</v>
      </c>
      <c r="L364" s="226" t="s">
        <v>2084</v>
      </c>
      <c r="M364" s="226"/>
      <c r="N364" s="226"/>
      <c r="O364" s="222"/>
    </row>
    <row r="365" spans="1:15" s="227" customFormat="1">
      <c r="A365" s="221" t="s">
        <v>2166</v>
      </c>
      <c r="B365" s="222">
        <v>1</v>
      </c>
      <c r="C365" s="222" t="s">
        <v>1158</v>
      </c>
      <c r="D365" s="223" t="s">
        <v>2167</v>
      </c>
      <c r="E365" s="224" t="s">
        <v>35</v>
      </c>
      <c r="F365" s="224" t="s">
        <v>2171</v>
      </c>
      <c r="G365" s="224" t="s">
        <v>2138</v>
      </c>
      <c r="H365" s="224" t="s">
        <v>35</v>
      </c>
      <c r="I365" s="224" t="s">
        <v>35</v>
      </c>
      <c r="J365" s="224" t="s">
        <v>25</v>
      </c>
      <c r="K365" s="225">
        <v>45673</v>
      </c>
      <c r="L365" s="226" t="s">
        <v>2084</v>
      </c>
      <c r="M365" s="226"/>
      <c r="N365" s="226"/>
      <c r="O365" s="222"/>
    </row>
    <row r="366" spans="1:15" s="227" customFormat="1">
      <c r="A366" s="221" t="s">
        <v>2166</v>
      </c>
      <c r="B366" s="222">
        <v>1</v>
      </c>
      <c r="C366" s="222" t="s">
        <v>1158</v>
      </c>
      <c r="D366" s="223" t="s">
        <v>2167</v>
      </c>
      <c r="E366" s="224" t="s">
        <v>35</v>
      </c>
      <c r="F366" s="224" t="s">
        <v>2172</v>
      </c>
      <c r="G366" s="224" t="s">
        <v>2138</v>
      </c>
      <c r="H366" s="224" t="s">
        <v>35</v>
      </c>
      <c r="I366" s="224" t="s">
        <v>35</v>
      </c>
      <c r="J366" s="224" t="s">
        <v>25</v>
      </c>
      <c r="K366" s="225">
        <v>45673</v>
      </c>
      <c r="L366" s="226" t="s">
        <v>2084</v>
      </c>
      <c r="M366" s="226"/>
      <c r="N366" s="226"/>
      <c r="O366" s="222"/>
    </row>
    <row r="367" spans="1:15" s="227" customFormat="1">
      <c r="A367" s="221" t="s">
        <v>2166</v>
      </c>
      <c r="B367" s="222">
        <v>1</v>
      </c>
      <c r="C367" s="222" t="s">
        <v>1158</v>
      </c>
      <c r="D367" s="223" t="s">
        <v>2167</v>
      </c>
      <c r="E367" s="224" t="s">
        <v>35</v>
      </c>
      <c r="F367" s="224" t="s">
        <v>2173</v>
      </c>
      <c r="G367" s="224" t="s">
        <v>2138</v>
      </c>
      <c r="H367" s="224" t="s">
        <v>35</v>
      </c>
      <c r="I367" s="224" t="s">
        <v>35</v>
      </c>
      <c r="J367" s="224" t="s">
        <v>25</v>
      </c>
      <c r="K367" s="225">
        <v>45673</v>
      </c>
      <c r="L367" s="226" t="s">
        <v>2084</v>
      </c>
      <c r="M367" s="226"/>
      <c r="N367" s="226"/>
      <c r="O367" s="222"/>
    </row>
    <row r="368" spans="1:15" s="227" customFormat="1">
      <c r="A368" s="221" t="s">
        <v>2166</v>
      </c>
      <c r="B368" s="222">
        <v>1</v>
      </c>
      <c r="C368" s="222" t="s">
        <v>1158</v>
      </c>
      <c r="D368" s="223" t="s">
        <v>2167</v>
      </c>
      <c r="E368" s="224" t="s">
        <v>35</v>
      </c>
      <c r="F368" s="224" t="s">
        <v>2174</v>
      </c>
      <c r="G368" s="224" t="s">
        <v>2138</v>
      </c>
      <c r="H368" s="224" t="s">
        <v>35</v>
      </c>
      <c r="I368" s="224" t="s">
        <v>35</v>
      </c>
      <c r="J368" s="224" t="s">
        <v>25</v>
      </c>
      <c r="K368" s="225">
        <v>45673</v>
      </c>
      <c r="L368" s="226" t="s">
        <v>2084</v>
      </c>
      <c r="M368" s="226"/>
      <c r="N368" s="226"/>
      <c r="O368" s="222"/>
    </row>
    <row r="369" spans="1:15" s="227" customFormat="1">
      <c r="A369" s="221" t="s">
        <v>2166</v>
      </c>
      <c r="B369" s="222">
        <v>1</v>
      </c>
      <c r="C369" s="222" t="s">
        <v>1158</v>
      </c>
      <c r="D369" s="223" t="s">
        <v>2167</v>
      </c>
      <c r="E369" s="224" t="s">
        <v>35</v>
      </c>
      <c r="F369" s="224" t="s">
        <v>2175</v>
      </c>
      <c r="G369" s="224" t="s">
        <v>2138</v>
      </c>
      <c r="H369" s="224" t="s">
        <v>35</v>
      </c>
      <c r="I369" s="224" t="s">
        <v>35</v>
      </c>
      <c r="J369" s="224" t="s">
        <v>25</v>
      </c>
      <c r="K369" s="225">
        <v>45673</v>
      </c>
      <c r="L369" s="226" t="s">
        <v>2084</v>
      </c>
      <c r="M369" s="226"/>
      <c r="N369" s="226"/>
      <c r="O369" s="222"/>
    </row>
    <row r="370" spans="1:15" s="227" customFormat="1">
      <c r="A370" s="221" t="s">
        <v>2166</v>
      </c>
      <c r="B370" s="222">
        <v>1</v>
      </c>
      <c r="C370" s="222" t="s">
        <v>1158</v>
      </c>
      <c r="D370" s="223" t="s">
        <v>2167</v>
      </c>
      <c r="E370" s="224" t="s">
        <v>35</v>
      </c>
      <c r="F370" s="224" t="s">
        <v>2176</v>
      </c>
      <c r="G370" s="224" t="s">
        <v>2138</v>
      </c>
      <c r="H370" s="224" t="s">
        <v>35</v>
      </c>
      <c r="I370" s="224" t="s">
        <v>35</v>
      </c>
      <c r="J370" s="224" t="s">
        <v>25</v>
      </c>
      <c r="K370" s="225">
        <v>45673</v>
      </c>
      <c r="L370" s="226" t="s">
        <v>2084</v>
      </c>
      <c r="M370" s="226"/>
      <c r="N370" s="226"/>
      <c r="O370" s="222"/>
    </row>
    <row r="371" spans="1:15" s="227" customFormat="1">
      <c r="A371" s="221" t="s">
        <v>2166</v>
      </c>
      <c r="B371" s="222">
        <v>1</v>
      </c>
      <c r="C371" s="222" t="s">
        <v>1158</v>
      </c>
      <c r="D371" s="223" t="s">
        <v>2167</v>
      </c>
      <c r="E371" s="224" t="s">
        <v>35</v>
      </c>
      <c r="F371" s="224" t="s">
        <v>2177</v>
      </c>
      <c r="G371" s="224" t="s">
        <v>2138</v>
      </c>
      <c r="H371" s="224" t="s">
        <v>35</v>
      </c>
      <c r="I371" s="224" t="s">
        <v>35</v>
      </c>
      <c r="J371" s="224" t="s">
        <v>25</v>
      </c>
      <c r="K371" s="225">
        <v>45673</v>
      </c>
      <c r="L371" s="226" t="s">
        <v>2084</v>
      </c>
      <c r="M371" s="226"/>
      <c r="N371" s="226"/>
      <c r="O371" s="222"/>
    </row>
    <row r="372" spans="1:15" s="227" customFormat="1">
      <c r="A372" s="221" t="s">
        <v>2166</v>
      </c>
      <c r="B372" s="222">
        <v>1</v>
      </c>
      <c r="C372" s="222" t="s">
        <v>1158</v>
      </c>
      <c r="D372" s="223" t="s">
        <v>2167</v>
      </c>
      <c r="E372" s="224" t="s">
        <v>35</v>
      </c>
      <c r="F372" s="224" t="s">
        <v>2178</v>
      </c>
      <c r="G372" s="224" t="s">
        <v>2138</v>
      </c>
      <c r="H372" s="224" t="s">
        <v>35</v>
      </c>
      <c r="I372" s="224" t="s">
        <v>35</v>
      </c>
      <c r="J372" s="224" t="s">
        <v>25</v>
      </c>
      <c r="K372" s="225">
        <v>45673</v>
      </c>
      <c r="L372" s="226" t="s">
        <v>2084</v>
      </c>
      <c r="M372" s="226"/>
      <c r="N372" s="226"/>
      <c r="O372" s="222"/>
    </row>
    <row r="373" spans="1:15" s="227" customFormat="1">
      <c r="A373" s="221" t="s">
        <v>2166</v>
      </c>
      <c r="B373" s="222">
        <v>1</v>
      </c>
      <c r="C373" s="222" t="s">
        <v>1158</v>
      </c>
      <c r="D373" s="223" t="s">
        <v>2167</v>
      </c>
      <c r="E373" s="224" t="s">
        <v>35</v>
      </c>
      <c r="F373" s="224" t="s">
        <v>2179</v>
      </c>
      <c r="G373" s="224" t="s">
        <v>2138</v>
      </c>
      <c r="H373" s="224" t="s">
        <v>35</v>
      </c>
      <c r="I373" s="224" t="s">
        <v>35</v>
      </c>
      <c r="J373" s="224" t="s">
        <v>25</v>
      </c>
      <c r="K373" s="225">
        <v>45673</v>
      </c>
      <c r="L373" s="226" t="s">
        <v>2084</v>
      </c>
      <c r="M373" s="226"/>
      <c r="N373" s="226"/>
      <c r="O373" s="222"/>
    </row>
    <row r="374" spans="1:15" s="227" customFormat="1">
      <c r="A374" s="221" t="s">
        <v>2166</v>
      </c>
      <c r="B374" s="222">
        <v>1</v>
      </c>
      <c r="C374" s="222" t="s">
        <v>1158</v>
      </c>
      <c r="D374" s="223" t="s">
        <v>2167</v>
      </c>
      <c r="E374" s="224" t="s">
        <v>35</v>
      </c>
      <c r="F374" s="224" t="s">
        <v>2180</v>
      </c>
      <c r="G374" s="224" t="s">
        <v>2138</v>
      </c>
      <c r="H374" s="224" t="s">
        <v>35</v>
      </c>
      <c r="I374" s="224" t="s">
        <v>35</v>
      </c>
      <c r="J374" s="224" t="s">
        <v>25</v>
      </c>
      <c r="K374" s="225">
        <v>45673</v>
      </c>
      <c r="L374" s="226" t="s">
        <v>2084</v>
      </c>
      <c r="M374" s="226"/>
      <c r="N374" s="226"/>
      <c r="O374" s="222"/>
    </row>
    <row r="375" spans="1:15">
      <c r="A375" s="168" t="s">
        <v>1161</v>
      </c>
      <c r="B375" s="72">
        <v>11</v>
      </c>
      <c r="C375" s="72" t="s">
        <v>35</v>
      </c>
      <c r="D375" s="166" t="s">
        <v>35</v>
      </c>
      <c r="E375" s="166" t="s">
        <v>35</v>
      </c>
      <c r="F375" s="166" t="s">
        <v>35</v>
      </c>
      <c r="G375" s="166" t="s">
        <v>1044</v>
      </c>
      <c r="H375" s="166" t="s">
        <v>35</v>
      </c>
      <c r="I375" s="166" t="s">
        <v>35</v>
      </c>
      <c r="J375" s="166" t="s">
        <v>1162</v>
      </c>
      <c r="K375" s="167" t="s">
        <v>35</v>
      </c>
      <c r="L375" s="170" t="s">
        <v>1163</v>
      </c>
      <c r="M375" s="170"/>
      <c r="N375" s="72" t="s">
        <v>27</v>
      </c>
      <c r="O375" s="72"/>
    </row>
    <row r="376" spans="1:15" outlineLevel="1">
      <c r="A376" s="27" t="s">
        <v>1131</v>
      </c>
      <c r="B376" s="78">
        <v>1</v>
      </c>
      <c r="C376" s="78" t="s">
        <v>606</v>
      </c>
      <c r="D376" s="27" t="s">
        <v>607</v>
      </c>
      <c r="E376" s="26">
        <v>2023101456321180</v>
      </c>
      <c r="F376" s="26" t="s">
        <v>609</v>
      </c>
      <c r="G376" s="26" t="s">
        <v>1044</v>
      </c>
      <c r="H376" s="52"/>
      <c r="I376" s="26" t="s">
        <v>35</v>
      </c>
      <c r="J376" s="26" t="s">
        <v>1162</v>
      </c>
      <c r="K376" s="33">
        <v>45520</v>
      </c>
      <c r="L376" s="30" t="s">
        <v>1162</v>
      </c>
      <c r="M376" s="30"/>
      <c r="N376" s="27" t="s">
        <v>27</v>
      </c>
      <c r="O376" s="27"/>
    </row>
    <row r="377" spans="1:15" outlineLevel="1">
      <c r="A377" s="27" t="s">
        <v>1042</v>
      </c>
      <c r="B377" s="78">
        <v>1</v>
      </c>
      <c r="C377" s="78" t="s">
        <v>1043</v>
      </c>
      <c r="D377" s="27" t="s">
        <v>35</v>
      </c>
      <c r="E377" s="27" t="s">
        <v>35</v>
      </c>
      <c r="F377" s="26" t="s">
        <v>2072</v>
      </c>
      <c r="G377" s="26" t="s">
        <v>1044</v>
      </c>
      <c r="H377" s="52"/>
      <c r="I377" s="26" t="s">
        <v>35</v>
      </c>
      <c r="J377" s="26" t="s">
        <v>1162</v>
      </c>
      <c r="K377" s="33">
        <v>45524</v>
      </c>
      <c r="L377" s="30" t="s">
        <v>1162</v>
      </c>
      <c r="M377" s="30"/>
      <c r="N377" s="27" t="s">
        <v>27</v>
      </c>
      <c r="O377" s="27"/>
    </row>
    <row r="378" spans="1:15" outlineLevel="1">
      <c r="A378" s="27" t="s">
        <v>1048</v>
      </c>
      <c r="B378" s="78">
        <v>1</v>
      </c>
      <c r="C378" s="78" t="s">
        <v>1043</v>
      </c>
      <c r="D378" s="27" t="s">
        <v>35</v>
      </c>
      <c r="E378" s="27" t="s">
        <v>35</v>
      </c>
      <c r="F378" s="26" t="s">
        <v>2073</v>
      </c>
      <c r="G378" s="26" t="s">
        <v>1044</v>
      </c>
      <c r="H378" s="52"/>
      <c r="I378" s="26" t="s">
        <v>35</v>
      </c>
      <c r="J378" s="26" t="s">
        <v>1162</v>
      </c>
      <c r="K378" s="33">
        <v>45524</v>
      </c>
      <c r="L378" s="30" t="s">
        <v>1162</v>
      </c>
      <c r="M378" s="30"/>
      <c r="N378" s="27" t="s">
        <v>27</v>
      </c>
      <c r="O378" s="27"/>
    </row>
    <row r="379" spans="1:15" outlineLevel="1">
      <c r="A379" s="27" t="s">
        <v>1164</v>
      </c>
      <c r="B379" s="78">
        <v>1</v>
      </c>
      <c r="C379" s="78" t="s">
        <v>1165</v>
      </c>
      <c r="D379" s="27" t="s">
        <v>35</v>
      </c>
      <c r="E379" s="27" t="s">
        <v>35</v>
      </c>
      <c r="F379" s="26" t="s">
        <v>2074</v>
      </c>
      <c r="G379" s="26" t="s">
        <v>1044</v>
      </c>
      <c r="H379" s="52"/>
      <c r="I379" s="26" t="s">
        <v>35</v>
      </c>
      <c r="J379" s="26" t="s">
        <v>1162</v>
      </c>
      <c r="K379" s="33">
        <v>45524</v>
      </c>
      <c r="L379" s="30" t="s">
        <v>1162</v>
      </c>
      <c r="M379" s="30"/>
      <c r="N379" s="27" t="s">
        <v>27</v>
      </c>
      <c r="O379" s="27"/>
    </row>
    <row r="380" spans="1:15" outlineLevel="1">
      <c r="A380" s="27" t="s">
        <v>1166</v>
      </c>
      <c r="B380" s="78">
        <v>1</v>
      </c>
      <c r="C380" s="78" t="s">
        <v>1167</v>
      </c>
      <c r="D380" s="27" t="s">
        <v>1052</v>
      </c>
      <c r="E380" s="26" t="s">
        <v>1053</v>
      </c>
      <c r="F380" s="26" t="s">
        <v>2075</v>
      </c>
      <c r="G380" s="26" t="s">
        <v>1044</v>
      </c>
      <c r="H380" s="52"/>
      <c r="I380" s="26" t="s">
        <v>35</v>
      </c>
      <c r="J380" s="26" t="s">
        <v>1162</v>
      </c>
      <c r="K380" s="33">
        <v>45524</v>
      </c>
      <c r="L380" s="30" t="s">
        <v>1162</v>
      </c>
      <c r="M380" s="30"/>
      <c r="N380" s="27" t="s">
        <v>27</v>
      </c>
      <c r="O380" s="27"/>
    </row>
    <row r="381" spans="1:15" outlineLevel="1">
      <c r="A381" s="27" t="s">
        <v>1056</v>
      </c>
      <c r="B381" s="78">
        <v>1</v>
      </c>
      <c r="C381" s="78" t="s">
        <v>1051</v>
      </c>
      <c r="D381" s="27" t="s">
        <v>1052</v>
      </c>
      <c r="E381" s="26">
        <v>2085191</v>
      </c>
      <c r="F381" s="26" t="s">
        <v>2076</v>
      </c>
      <c r="G381" s="26" t="s">
        <v>1044</v>
      </c>
      <c r="H381" s="52"/>
      <c r="I381" s="26" t="s">
        <v>35</v>
      </c>
      <c r="J381" s="26" t="s">
        <v>1162</v>
      </c>
      <c r="K381" s="33">
        <v>45524</v>
      </c>
      <c r="L381" s="30" t="s">
        <v>1162</v>
      </c>
      <c r="M381" s="30"/>
      <c r="N381" s="27" t="s">
        <v>27</v>
      </c>
      <c r="O381" s="27"/>
    </row>
    <row r="382" spans="1:15" outlineLevel="1">
      <c r="A382" s="27" t="s">
        <v>1056</v>
      </c>
      <c r="B382" s="78">
        <v>1</v>
      </c>
      <c r="C382" s="78" t="s">
        <v>1051</v>
      </c>
      <c r="D382" s="27" t="s">
        <v>1052</v>
      </c>
      <c r="E382" s="26">
        <v>2098043</v>
      </c>
      <c r="F382" s="26" t="s">
        <v>2077</v>
      </c>
      <c r="G382" s="26" t="s">
        <v>1044</v>
      </c>
      <c r="H382" s="52"/>
      <c r="I382" s="26" t="s">
        <v>35</v>
      </c>
      <c r="J382" s="26" t="s">
        <v>1162</v>
      </c>
      <c r="K382" s="33">
        <v>45524</v>
      </c>
      <c r="L382" s="30" t="s">
        <v>1162</v>
      </c>
      <c r="M382" s="30"/>
      <c r="N382" s="27" t="s">
        <v>27</v>
      </c>
      <c r="O382" s="27"/>
    </row>
    <row r="383" spans="1:15" outlineLevel="1">
      <c r="A383" s="27" t="s">
        <v>1059</v>
      </c>
      <c r="B383" s="78">
        <v>1</v>
      </c>
      <c r="C383" s="78" t="s">
        <v>1051</v>
      </c>
      <c r="D383" s="27" t="s">
        <v>1060</v>
      </c>
      <c r="E383" s="26" t="s">
        <v>1061</v>
      </c>
      <c r="F383" s="26" t="s">
        <v>2078</v>
      </c>
      <c r="G383" s="26" t="s">
        <v>1044</v>
      </c>
      <c r="H383" s="52"/>
      <c r="I383" s="26" t="s">
        <v>35</v>
      </c>
      <c r="J383" s="26" t="s">
        <v>1162</v>
      </c>
      <c r="K383" s="33">
        <v>45524</v>
      </c>
      <c r="L383" s="30" t="s">
        <v>1162</v>
      </c>
      <c r="M383" s="30"/>
      <c r="N383" s="27" t="s">
        <v>27</v>
      </c>
      <c r="O383" s="27"/>
    </row>
    <row r="384" spans="1:15" outlineLevel="1">
      <c r="A384" s="27" t="s">
        <v>1168</v>
      </c>
      <c r="B384" s="78">
        <v>1</v>
      </c>
      <c r="C384" s="78" t="s">
        <v>1167</v>
      </c>
      <c r="D384" s="27" t="s">
        <v>35</v>
      </c>
      <c r="E384" s="27" t="s">
        <v>35</v>
      </c>
      <c r="F384" s="26" t="s">
        <v>2079</v>
      </c>
      <c r="G384" s="26" t="s">
        <v>1044</v>
      </c>
      <c r="H384" s="52"/>
      <c r="I384" s="26" t="s">
        <v>35</v>
      </c>
      <c r="J384" s="26" t="s">
        <v>1162</v>
      </c>
      <c r="K384" s="33">
        <v>45524</v>
      </c>
      <c r="L384" s="30" t="s">
        <v>1162</v>
      </c>
      <c r="M384" s="30"/>
      <c r="N384" s="27" t="s">
        <v>27</v>
      </c>
      <c r="O384" s="27"/>
    </row>
    <row r="385" spans="1:15" outlineLevel="1">
      <c r="A385" s="27" t="s">
        <v>1169</v>
      </c>
      <c r="B385" s="78">
        <v>1</v>
      </c>
      <c r="C385" s="78" t="s">
        <v>1043</v>
      </c>
      <c r="D385" s="27" t="s">
        <v>35</v>
      </c>
      <c r="E385" s="27" t="s">
        <v>35</v>
      </c>
      <c r="F385" s="26" t="s">
        <v>2080</v>
      </c>
      <c r="G385" s="26" t="s">
        <v>1044</v>
      </c>
      <c r="H385" s="52"/>
      <c r="I385" s="26" t="s">
        <v>35</v>
      </c>
      <c r="J385" s="26" t="s">
        <v>1162</v>
      </c>
      <c r="K385" s="33">
        <v>45524</v>
      </c>
      <c r="L385" s="30" t="s">
        <v>1162</v>
      </c>
      <c r="M385" s="30"/>
      <c r="N385" s="27" t="s">
        <v>27</v>
      </c>
      <c r="O385" s="27"/>
    </row>
    <row r="386" spans="1:15" outlineLevel="1">
      <c r="A386" s="27" t="s">
        <v>1070</v>
      </c>
      <c r="B386" s="78">
        <v>1</v>
      </c>
      <c r="C386" s="78" t="s">
        <v>1043</v>
      </c>
      <c r="D386" s="27" t="s">
        <v>35</v>
      </c>
      <c r="E386" s="27" t="s">
        <v>35</v>
      </c>
      <c r="F386" s="26" t="s">
        <v>2081</v>
      </c>
      <c r="G386" s="26" t="s">
        <v>1044</v>
      </c>
      <c r="H386" s="52"/>
      <c r="I386" s="26" t="s">
        <v>35</v>
      </c>
      <c r="J386" s="26" t="s">
        <v>1162</v>
      </c>
      <c r="K386" s="33">
        <v>45524</v>
      </c>
      <c r="L386" s="30" t="s">
        <v>1162</v>
      </c>
      <c r="M386" s="30"/>
      <c r="N386" s="27" t="s">
        <v>27</v>
      </c>
      <c r="O386" s="27"/>
    </row>
    <row r="387" spans="1:15">
      <c r="A387" s="168" t="s">
        <v>130</v>
      </c>
      <c r="B387" s="72">
        <v>3</v>
      </c>
      <c r="C387" s="72" t="s">
        <v>131</v>
      </c>
      <c r="D387" s="72" t="s">
        <v>132</v>
      </c>
      <c r="E387" s="166" t="s">
        <v>15</v>
      </c>
      <c r="F387" s="166" t="s">
        <v>15</v>
      </c>
      <c r="G387" s="166" t="s">
        <v>134</v>
      </c>
      <c r="H387" s="166" t="s">
        <v>25</v>
      </c>
      <c r="I387" s="166" t="s">
        <v>78</v>
      </c>
      <c r="J387" s="166" t="s">
        <v>25</v>
      </c>
      <c r="K387" s="167">
        <v>45575</v>
      </c>
      <c r="L387" s="170"/>
      <c r="M387" s="170"/>
      <c r="N387" s="72" t="s">
        <v>27</v>
      </c>
      <c r="O387" s="72"/>
    </row>
    <row r="388" spans="1:15" outlineLevel="1">
      <c r="A388" s="27" t="s">
        <v>130</v>
      </c>
      <c r="B388" s="27">
        <v>1</v>
      </c>
      <c r="C388" s="54" t="s">
        <v>131</v>
      </c>
      <c r="D388" s="54" t="s">
        <v>132</v>
      </c>
      <c r="E388" s="55">
        <v>8.00000657802E+16</v>
      </c>
      <c r="F388" s="55" t="s">
        <v>135</v>
      </c>
      <c r="G388" s="55" t="s">
        <v>134</v>
      </c>
      <c r="H388" s="27" t="s">
        <v>25</v>
      </c>
      <c r="I388" s="54" t="s">
        <v>78</v>
      </c>
      <c r="J388" s="125" t="s">
        <v>25</v>
      </c>
      <c r="K388" s="33">
        <v>45575</v>
      </c>
      <c r="L388" s="27" t="s">
        <v>78</v>
      </c>
      <c r="M388" s="90"/>
      <c r="N388" s="27" t="s">
        <v>27</v>
      </c>
      <c r="O388" s="90"/>
    </row>
    <row r="389" spans="1:15" outlineLevel="1">
      <c r="A389" s="27" t="s">
        <v>130</v>
      </c>
      <c r="B389" s="27">
        <v>1</v>
      </c>
      <c r="C389" s="54" t="s">
        <v>131</v>
      </c>
      <c r="D389" s="54" t="s">
        <v>132</v>
      </c>
      <c r="E389" s="55">
        <v>8.00000657802E+16</v>
      </c>
      <c r="F389" s="55" t="s">
        <v>137</v>
      </c>
      <c r="G389" s="55" t="s">
        <v>134</v>
      </c>
      <c r="H389" s="27" t="s">
        <v>25</v>
      </c>
      <c r="I389" s="54" t="s">
        <v>78</v>
      </c>
      <c r="J389" s="125" t="s">
        <v>25</v>
      </c>
      <c r="K389" s="33">
        <v>45575</v>
      </c>
      <c r="L389" s="27" t="s">
        <v>78</v>
      </c>
      <c r="M389" s="90"/>
      <c r="N389" s="27" t="s">
        <v>27</v>
      </c>
      <c r="O389" s="90"/>
    </row>
    <row r="390" spans="1:15" outlineLevel="1">
      <c r="A390" s="27" t="s">
        <v>130</v>
      </c>
      <c r="B390" s="27">
        <v>1</v>
      </c>
      <c r="C390" s="54" t="s">
        <v>131</v>
      </c>
      <c r="D390" s="54" t="s">
        <v>132</v>
      </c>
      <c r="E390" s="55">
        <v>8.00000657802E+16</v>
      </c>
      <c r="F390" s="55" t="s">
        <v>139</v>
      </c>
      <c r="G390" s="55" t="s">
        <v>134</v>
      </c>
      <c r="H390" s="27" t="s">
        <v>25</v>
      </c>
      <c r="I390" s="54" t="s">
        <v>78</v>
      </c>
      <c r="J390" s="125" t="s">
        <v>25</v>
      </c>
      <c r="K390" s="33">
        <v>45575</v>
      </c>
      <c r="L390" s="27" t="s">
        <v>78</v>
      </c>
      <c r="M390" s="90"/>
      <c r="N390" s="27" t="s">
        <v>27</v>
      </c>
      <c r="O390" s="90"/>
    </row>
    <row r="391" spans="1:15">
      <c r="A391" s="168" t="s">
        <v>1170</v>
      </c>
      <c r="B391" s="72">
        <v>20</v>
      </c>
      <c r="C391" s="72" t="s">
        <v>1171</v>
      </c>
      <c r="D391" s="72" t="s">
        <v>1172</v>
      </c>
      <c r="E391" s="166" t="s">
        <v>15</v>
      </c>
      <c r="F391" s="166" t="s">
        <v>15</v>
      </c>
      <c r="G391" s="166" t="s">
        <v>1173</v>
      </c>
      <c r="H391" s="166" t="s">
        <v>25</v>
      </c>
      <c r="I391" s="166" t="s">
        <v>78</v>
      </c>
      <c r="J391" s="166" t="s">
        <v>25</v>
      </c>
      <c r="K391" s="167">
        <v>45575</v>
      </c>
      <c r="L391" s="170"/>
      <c r="M391" s="170"/>
      <c r="N391" s="72" t="s">
        <v>27</v>
      </c>
      <c r="O391" s="72"/>
    </row>
    <row r="392" spans="1:15" outlineLevel="1">
      <c r="A392" s="188" t="s">
        <v>1170</v>
      </c>
      <c r="B392" s="189">
        <v>1</v>
      </c>
      <c r="C392" s="189" t="s">
        <v>1171</v>
      </c>
      <c r="D392" s="189" t="s">
        <v>1172</v>
      </c>
      <c r="E392" s="55" t="s">
        <v>1174</v>
      </c>
      <c r="F392" s="55" t="s">
        <v>1175</v>
      </c>
      <c r="G392" s="190" t="s">
        <v>1173</v>
      </c>
      <c r="H392" s="27" t="s">
        <v>25</v>
      </c>
      <c r="I392" s="190"/>
      <c r="J392" s="190"/>
      <c r="K392" s="191">
        <v>45575</v>
      </c>
      <c r="L392" s="212" t="s">
        <v>1136</v>
      </c>
      <c r="M392" s="192"/>
      <c r="N392" s="189" t="s">
        <v>27</v>
      </c>
      <c r="O392" s="90"/>
    </row>
    <row r="393" spans="1:15" outlineLevel="1">
      <c r="A393" s="188" t="s">
        <v>1170</v>
      </c>
      <c r="B393" s="189">
        <v>1</v>
      </c>
      <c r="C393" s="189" t="s">
        <v>1171</v>
      </c>
      <c r="D393" s="189" t="s">
        <v>1172</v>
      </c>
      <c r="E393" s="55" t="s">
        <v>1176</v>
      </c>
      <c r="F393" s="55" t="s">
        <v>1177</v>
      </c>
      <c r="G393" s="190" t="s">
        <v>1173</v>
      </c>
      <c r="H393" s="27" t="s">
        <v>25</v>
      </c>
      <c r="I393" s="190"/>
      <c r="J393" s="190"/>
      <c r="K393" s="191">
        <v>45575</v>
      </c>
      <c r="L393" s="212" t="s">
        <v>78</v>
      </c>
      <c r="M393" s="192"/>
      <c r="N393" s="189" t="s">
        <v>27</v>
      </c>
      <c r="O393" s="90"/>
    </row>
    <row r="394" spans="1:15" outlineLevel="1">
      <c r="A394" s="188" t="s">
        <v>1170</v>
      </c>
      <c r="B394" s="189">
        <v>1</v>
      </c>
      <c r="C394" s="189" t="s">
        <v>1171</v>
      </c>
      <c r="D394" s="189" t="s">
        <v>1172</v>
      </c>
      <c r="E394" s="55" t="s">
        <v>1178</v>
      </c>
      <c r="F394" s="55" t="s">
        <v>1179</v>
      </c>
      <c r="G394" s="190" t="s">
        <v>1173</v>
      </c>
      <c r="H394" s="27" t="s">
        <v>25</v>
      </c>
      <c r="I394" s="190"/>
      <c r="J394" s="190"/>
      <c r="K394" s="191">
        <v>45575</v>
      </c>
      <c r="L394" s="220" t="s">
        <v>1828</v>
      </c>
      <c r="M394" s="192"/>
      <c r="N394" s="189" t="s">
        <v>27</v>
      </c>
      <c r="O394" s="90"/>
    </row>
    <row r="395" spans="1:15" outlineLevel="1">
      <c r="A395" s="188" t="s">
        <v>1170</v>
      </c>
      <c r="B395" s="189">
        <v>1</v>
      </c>
      <c r="C395" s="189" t="s">
        <v>1171</v>
      </c>
      <c r="D395" s="189" t="s">
        <v>1172</v>
      </c>
      <c r="E395" s="55" t="s">
        <v>1180</v>
      </c>
      <c r="F395" s="55" t="s">
        <v>1181</v>
      </c>
      <c r="G395" s="190" t="s">
        <v>1173</v>
      </c>
      <c r="H395" s="27" t="s">
        <v>25</v>
      </c>
      <c r="I395" s="190"/>
      <c r="J395" s="190"/>
      <c r="K395" s="191">
        <v>45575</v>
      </c>
      <c r="L395" s="220" t="s">
        <v>1182</v>
      </c>
      <c r="M395" s="192"/>
      <c r="N395" s="189" t="s">
        <v>27</v>
      </c>
      <c r="O395" s="90"/>
    </row>
    <row r="396" spans="1:15" outlineLevel="1">
      <c r="A396" s="188" t="s">
        <v>1170</v>
      </c>
      <c r="B396" s="189">
        <v>1</v>
      </c>
      <c r="C396" s="189" t="s">
        <v>1171</v>
      </c>
      <c r="D396" s="189" t="s">
        <v>1172</v>
      </c>
      <c r="E396" s="55" t="s">
        <v>1183</v>
      </c>
      <c r="F396" s="55" t="s">
        <v>1184</v>
      </c>
      <c r="G396" s="190" t="s">
        <v>1173</v>
      </c>
      <c r="H396" s="27" t="s">
        <v>25</v>
      </c>
      <c r="I396" s="190"/>
      <c r="J396" s="190"/>
      <c r="K396" s="191">
        <v>45575</v>
      </c>
      <c r="L396" s="212" t="s">
        <v>78</v>
      </c>
      <c r="M396" s="192"/>
      <c r="N396" s="189" t="s">
        <v>27</v>
      </c>
      <c r="O396" s="90"/>
    </row>
    <row r="397" spans="1:15" outlineLevel="1">
      <c r="A397" s="188" t="s">
        <v>1170</v>
      </c>
      <c r="B397" s="189">
        <v>1</v>
      </c>
      <c r="C397" s="189" t="s">
        <v>1171</v>
      </c>
      <c r="D397" s="189" t="s">
        <v>1172</v>
      </c>
      <c r="E397" s="55" t="s">
        <v>1185</v>
      </c>
      <c r="F397" s="55" t="s">
        <v>1186</v>
      </c>
      <c r="G397" s="190" t="s">
        <v>1173</v>
      </c>
      <c r="H397" s="27" t="s">
        <v>25</v>
      </c>
      <c r="I397" s="190"/>
      <c r="J397" s="190"/>
      <c r="K397" s="191">
        <v>45575</v>
      </c>
      <c r="L397" s="220" t="s">
        <v>1828</v>
      </c>
      <c r="M397" s="192"/>
      <c r="N397" s="189" t="s">
        <v>27</v>
      </c>
      <c r="O397" s="90"/>
    </row>
    <row r="398" spans="1:15" outlineLevel="1">
      <c r="A398" s="188" t="s">
        <v>1170</v>
      </c>
      <c r="B398" s="189">
        <v>1</v>
      </c>
      <c r="C398" s="189" t="s">
        <v>1171</v>
      </c>
      <c r="D398" s="189" t="s">
        <v>1172</v>
      </c>
      <c r="E398" s="55" t="s">
        <v>1187</v>
      </c>
      <c r="F398" s="55" t="s">
        <v>1188</v>
      </c>
      <c r="G398" s="190" t="s">
        <v>1173</v>
      </c>
      <c r="H398" s="27" t="s">
        <v>25</v>
      </c>
      <c r="I398" s="190"/>
      <c r="J398" s="190"/>
      <c r="K398" s="191">
        <v>45575</v>
      </c>
      <c r="L398" s="212" t="s">
        <v>78</v>
      </c>
      <c r="M398" s="192"/>
      <c r="N398" s="189" t="s">
        <v>27</v>
      </c>
      <c r="O398" s="90"/>
    </row>
    <row r="399" spans="1:15" outlineLevel="1">
      <c r="A399" s="188" t="s">
        <v>1170</v>
      </c>
      <c r="B399" s="189">
        <v>1</v>
      </c>
      <c r="C399" s="189" t="s">
        <v>1171</v>
      </c>
      <c r="D399" s="189" t="s">
        <v>1172</v>
      </c>
      <c r="E399" s="55" t="s">
        <v>1189</v>
      </c>
      <c r="F399" s="55" t="s">
        <v>1190</v>
      </c>
      <c r="G399" s="190" t="s">
        <v>1173</v>
      </c>
      <c r="H399" s="27" t="s">
        <v>25</v>
      </c>
      <c r="I399" s="190"/>
      <c r="J399" s="190"/>
      <c r="K399" s="191">
        <v>45575</v>
      </c>
      <c r="L399" s="212" t="s">
        <v>1136</v>
      </c>
      <c r="M399" s="192"/>
      <c r="N399" s="189" t="s">
        <v>27</v>
      </c>
      <c r="O399" s="90"/>
    </row>
    <row r="400" spans="1:15" outlineLevel="1">
      <c r="A400" s="188" t="s">
        <v>1170</v>
      </c>
      <c r="B400" s="189">
        <v>1</v>
      </c>
      <c r="C400" s="189" t="s">
        <v>1171</v>
      </c>
      <c r="D400" s="189" t="s">
        <v>1172</v>
      </c>
      <c r="E400" s="55" t="s">
        <v>1191</v>
      </c>
      <c r="F400" s="55" t="s">
        <v>1192</v>
      </c>
      <c r="G400" s="190" t="s">
        <v>1173</v>
      </c>
      <c r="H400" s="27" t="s">
        <v>25</v>
      </c>
      <c r="I400" s="190"/>
      <c r="J400" s="190"/>
      <c r="K400" s="191">
        <v>45575</v>
      </c>
      <c r="L400" s="220" t="s">
        <v>1823</v>
      </c>
      <c r="M400" s="192"/>
      <c r="N400" s="189" t="s">
        <v>27</v>
      </c>
      <c r="O400" s="90"/>
    </row>
    <row r="401" spans="1:15" outlineLevel="1">
      <c r="A401" s="188" t="s">
        <v>1170</v>
      </c>
      <c r="B401" s="189">
        <v>1</v>
      </c>
      <c r="C401" s="189" t="s">
        <v>1171</v>
      </c>
      <c r="D401" s="189" t="s">
        <v>1172</v>
      </c>
      <c r="E401" s="55" t="s">
        <v>1193</v>
      </c>
      <c r="F401" s="55" t="s">
        <v>1194</v>
      </c>
      <c r="G401" s="190" t="s">
        <v>1173</v>
      </c>
      <c r="H401" s="27" t="s">
        <v>25</v>
      </c>
      <c r="I401" s="190"/>
      <c r="J401" s="190"/>
      <c r="K401" s="191">
        <v>45575</v>
      </c>
      <c r="L401" s="220" t="s">
        <v>1828</v>
      </c>
      <c r="M401" s="192"/>
      <c r="N401" s="189" t="s">
        <v>27</v>
      </c>
      <c r="O401" s="90"/>
    </row>
    <row r="402" spans="1:15" outlineLevel="1">
      <c r="A402" s="188" t="s">
        <v>1170</v>
      </c>
      <c r="B402" s="189">
        <v>1</v>
      </c>
      <c r="C402" s="189" t="s">
        <v>1171</v>
      </c>
      <c r="D402" s="189" t="s">
        <v>1172</v>
      </c>
      <c r="E402" s="55" t="s">
        <v>1195</v>
      </c>
      <c r="F402" s="55" t="s">
        <v>1196</v>
      </c>
      <c r="G402" s="190" t="s">
        <v>1173</v>
      </c>
      <c r="H402" s="27" t="s">
        <v>25</v>
      </c>
      <c r="I402" s="190"/>
      <c r="J402" s="190"/>
      <c r="K402" s="191">
        <v>45575</v>
      </c>
      <c r="L402" s="212" t="s">
        <v>78</v>
      </c>
      <c r="M402" s="192"/>
      <c r="N402" s="189" t="s">
        <v>27</v>
      </c>
      <c r="O402" s="90"/>
    </row>
    <row r="403" spans="1:15" outlineLevel="1">
      <c r="A403" s="188" t="s">
        <v>1170</v>
      </c>
      <c r="B403" s="189">
        <v>1</v>
      </c>
      <c r="C403" s="189" t="s">
        <v>1171</v>
      </c>
      <c r="D403" s="189" t="s">
        <v>1172</v>
      </c>
      <c r="E403" s="55" t="s">
        <v>1197</v>
      </c>
      <c r="F403" s="55" t="s">
        <v>1198</v>
      </c>
      <c r="G403" s="190" t="s">
        <v>1173</v>
      </c>
      <c r="H403" s="27" t="s">
        <v>25</v>
      </c>
      <c r="I403" s="190"/>
      <c r="J403" s="190"/>
      <c r="K403" s="191">
        <v>45575</v>
      </c>
      <c r="L403" s="220" t="s">
        <v>25</v>
      </c>
      <c r="M403" s="192"/>
      <c r="N403" s="189" t="s">
        <v>27</v>
      </c>
      <c r="O403" s="90"/>
    </row>
    <row r="404" spans="1:15" outlineLevel="1">
      <c r="A404" s="188" t="s">
        <v>1170</v>
      </c>
      <c r="B404" s="189">
        <v>1</v>
      </c>
      <c r="C404" s="189" t="s">
        <v>1171</v>
      </c>
      <c r="D404" s="189" t="s">
        <v>1172</v>
      </c>
      <c r="E404" s="55" t="s">
        <v>1199</v>
      </c>
      <c r="F404" s="55" t="s">
        <v>1200</v>
      </c>
      <c r="G404" s="190" t="s">
        <v>1173</v>
      </c>
      <c r="H404" s="27" t="s">
        <v>25</v>
      </c>
      <c r="I404" s="190"/>
      <c r="J404" s="190"/>
      <c r="K404" s="191">
        <v>45575</v>
      </c>
      <c r="L404" s="220" t="s">
        <v>1823</v>
      </c>
      <c r="M404" s="192"/>
      <c r="N404" s="189" t="s">
        <v>27</v>
      </c>
      <c r="O404" s="90"/>
    </row>
    <row r="405" spans="1:15" outlineLevel="1">
      <c r="A405" s="188" t="s">
        <v>1170</v>
      </c>
      <c r="B405" s="189">
        <v>1</v>
      </c>
      <c r="C405" s="189" t="s">
        <v>1171</v>
      </c>
      <c r="D405" s="189" t="s">
        <v>1172</v>
      </c>
      <c r="E405" s="55" t="s">
        <v>1201</v>
      </c>
      <c r="F405" s="55" t="s">
        <v>1202</v>
      </c>
      <c r="G405" s="190" t="s">
        <v>1173</v>
      </c>
      <c r="H405" s="27" t="s">
        <v>25</v>
      </c>
      <c r="I405" s="190"/>
      <c r="J405" s="190"/>
      <c r="K405" s="191">
        <v>45575</v>
      </c>
      <c r="L405" s="220" t="s">
        <v>25</v>
      </c>
      <c r="M405" s="192"/>
      <c r="N405" s="189" t="s">
        <v>27</v>
      </c>
      <c r="O405" s="90"/>
    </row>
    <row r="406" spans="1:15" outlineLevel="1">
      <c r="A406" s="188" t="s">
        <v>1170</v>
      </c>
      <c r="B406" s="189">
        <v>1</v>
      </c>
      <c r="C406" s="189" t="s">
        <v>1171</v>
      </c>
      <c r="D406" s="189" t="s">
        <v>1172</v>
      </c>
      <c r="E406" s="55" t="s">
        <v>1203</v>
      </c>
      <c r="F406" s="55" t="s">
        <v>1204</v>
      </c>
      <c r="G406" s="190" t="s">
        <v>1173</v>
      </c>
      <c r="H406" s="27" t="s">
        <v>25</v>
      </c>
      <c r="I406" s="190"/>
      <c r="J406" s="190"/>
      <c r="K406" s="191">
        <v>45575</v>
      </c>
      <c r="L406" s="220" t="s">
        <v>1182</v>
      </c>
      <c r="M406" s="192"/>
      <c r="N406" s="189" t="s">
        <v>27</v>
      </c>
      <c r="O406" s="90"/>
    </row>
    <row r="407" spans="1:15" outlineLevel="1">
      <c r="A407" s="188" t="s">
        <v>1170</v>
      </c>
      <c r="B407" s="189">
        <v>1</v>
      </c>
      <c r="C407" s="189" t="s">
        <v>1171</v>
      </c>
      <c r="D407" s="189" t="s">
        <v>1172</v>
      </c>
      <c r="E407" s="55" t="s">
        <v>1205</v>
      </c>
      <c r="F407" s="55" t="s">
        <v>1206</v>
      </c>
      <c r="G407" s="190" t="s">
        <v>1173</v>
      </c>
      <c r="H407" s="27" t="s">
        <v>25</v>
      </c>
      <c r="I407" s="190"/>
      <c r="J407" s="190"/>
      <c r="K407" s="191">
        <v>45575</v>
      </c>
      <c r="L407" s="220" t="s">
        <v>25</v>
      </c>
      <c r="M407" s="192"/>
      <c r="N407" s="189" t="s">
        <v>27</v>
      </c>
      <c r="O407" s="90"/>
    </row>
    <row r="408" spans="1:15" outlineLevel="1">
      <c r="A408" s="188" t="s">
        <v>1170</v>
      </c>
      <c r="B408" s="189">
        <v>1</v>
      </c>
      <c r="C408" s="189" t="s">
        <v>1171</v>
      </c>
      <c r="D408" s="189" t="s">
        <v>1172</v>
      </c>
      <c r="E408" s="55" t="s">
        <v>1207</v>
      </c>
      <c r="F408" s="55" t="s">
        <v>1208</v>
      </c>
      <c r="G408" s="190" t="s">
        <v>1173</v>
      </c>
      <c r="H408" s="27" t="s">
        <v>25</v>
      </c>
      <c r="I408" s="190"/>
      <c r="J408" s="190"/>
      <c r="K408" s="191">
        <v>45575</v>
      </c>
      <c r="L408" s="220" t="s">
        <v>1182</v>
      </c>
      <c r="M408" s="192"/>
      <c r="N408" s="189" t="s">
        <v>27</v>
      </c>
      <c r="O408" s="90"/>
    </row>
    <row r="409" spans="1:15" outlineLevel="1">
      <c r="A409" s="188" t="s">
        <v>1170</v>
      </c>
      <c r="B409" s="189">
        <v>1</v>
      </c>
      <c r="C409" s="189" t="s">
        <v>1171</v>
      </c>
      <c r="D409" s="189" t="s">
        <v>1172</v>
      </c>
      <c r="E409" s="55" t="s">
        <v>1209</v>
      </c>
      <c r="F409" s="55" t="s">
        <v>1210</v>
      </c>
      <c r="G409" s="190" t="s">
        <v>1173</v>
      </c>
      <c r="H409" s="27" t="s">
        <v>25</v>
      </c>
      <c r="I409" s="190"/>
      <c r="J409" s="190"/>
      <c r="K409" s="191">
        <v>45575</v>
      </c>
      <c r="L409" s="212" t="s">
        <v>1136</v>
      </c>
      <c r="M409" s="192"/>
      <c r="N409" s="189" t="s">
        <v>27</v>
      </c>
      <c r="O409" s="90"/>
    </row>
    <row r="410" spans="1:15" outlineLevel="1">
      <c r="A410" s="188" t="s">
        <v>1170</v>
      </c>
      <c r="B410" s="189">
        <v>1</v>
      </c>
      <c r="C410" s="189" t="s">
        <v>1171</v>
      </c>
      <c r="D410" s="189" t="s">
        <v>1172</v>
      </c>
      <c r="E410" s="55" t="s">
        <v>1211</v>
      </c>
      <c r="F410" s="55" t="s">
        <v>1212</v>
      </c>
      <c r="G410" s="190" t="s">
        <v>1173</v>
      </c>
      <c r="H410" s="27" t="s">
        <v>25</v>
      </c>
      <c r="I410" s="190"/>
      <c r="J410" s="190"/>
      <c r="K410" s="191">
        <v>45575</v>
      </c>
      <c r="L410" s="212" t="s">
        <v>1136</v>
      </c>
      <c r="M410" s="192"/>
      <c r="N410" s="189" t="s">
        <v>27</v>
      </c>
      <c r="O410" s="90"/>
    </row>
    <row r="411" spans="1:15" outlineLevel="1">
      <c r="A411" s="188" t="s">
        <v>1170</v>
      </c>
      <c r="B411" s="189">
        <v>1</v>
      </c>
      <c r="C411" s="189" t="s">
        <v>1171</v>
      </c>
      <c r="D411" s="189" t="s">
        <v>1172</v>
      </c>
      <c r="E411" s="55" t="s">
        <v>1213</v>
      </c>
      <c r="F411" s="55" t="s">
        <v>1214</v>
      </c>
      <c r="G411" s="190" t="s">
        <v>1173</v>
      </c>
      <c r="H411" s="27" t="s">
        <v>25</v>
      </c>
      <c r="I411" s="190"/>
      <c r="J411" s="190"/>
      <c r="K411" s="191">
        <v>45575</v>
      </c>
      <c r="L411" s="220" t="s">
        <v>1182</v>
      </c>
      <c r="M411" s="192"/>
      <c r="N411" s="189" t="s">
        <v>27</v>
      </c>
      <c r="O411" s="90"/>
    </row>
    <row r="412" spans="1:15">
      <c r="A412" s="72" t="s">
        <v>1215</v>
      </c>
      <c r="B412" s="72">
        <v>9</v>
      </c>
      <c r="C412" s="72" t="s">
        <v>1216</v>
      </c>
      <c r="D412" s="72" t="s">
        <v>1217</v>
      </c>
      <c r="E412" s="166"/>
      <c r="F412" s="166"/>
      <c r="G412" s="166" t="s">
        <v>1218</v>
      </c>
      <c r="H412" s="72"/>
      <c r="I412" s="72"/>
      <c r="J412" s="193"/>
      <c r="K412" s="172"/>
      <c r="L412" s="172"/>
      <c r="M412" s="172"/>
      <c r="N412" s="172"/>
      <c r="O412" s="172"/>
    </row>
    <row r="413" spans="1:15">
      <c r="A413" s="189" t="s">
        <v>1215</v>
      </c>
      <c r="B413" s="27">
        <v>1</v>
      </c>
      <c r="C413" s="189" t="s">
        <v>1216</v>
      </c>
      <c r="D413" s="189" t="s">
        <v>1217</v>
      </c>
      <c r="E413" s="55" t="s">
        <v>1219</v>
      </c>
      <c r="F413" s="55" t="s">
        <v>1220</v>
      </c>
      <c r="G413" s="55" t="s">
        <v>1221</v>
      </c>
      <c r="H413" s="27" t="s">
        <v>25</v>
      </c>
      <c r="J413" s="56"/>
      <c r="K413" s="30">
        <v>45302</v>
      </c>
      <c r="L413" s="54" t="s">
        <v>1222</v>
      </c>
      <c r="M413" s="90"/>
      <c r="N413" s="189" t="s">
        <v>27</v>
      </c>
      <c r="O413" s="90"/>
    </row>
    <row r="414" spans="1:15">
      <c r="A414" s="189" t="s">
        <v>1215</v>
      </c>
      <c r="B414" s="27">
        <v>1</v>
      </c>
      <c r="C414" s="189" t="s">
        <v>1216</v>
      </c>
      <c r="D414" s="189" t="s">
        <v>1217</v>
      </c>
      <c r="E414" s="55" t="s">
        <v>1223</v>
      </c>
      <c r="F414" s="55" t="s">
        <v>1224</v>
      </c>
      <c r="G414" s="55" t="s">
        <v>1221</v>
      </c>
      <c r="H414" s="27" t="s">
        <v>25</v>
      </c>
      <c r="J414" s="56"/>
      <c r="K414" s="30">
        <v>45302</v>
      </c>
      <c r="L414" s="54" t="s">
        <v>1222</v>
      </c>
      <c r="M414" s="90"/>
      <c r="N414" s="189" t="s">
        <v>27</v>
      </c>
      <c r="O414" s="90"/>
    </row>
    <row r="415" spans="1:15">
      <c r="A415" s="189" t="s">
        <v>1215</v>
      </c>
      <c r="B415" s="27">
        <v>1</v>
      </c>
      <c r="C415" s="189" t="s">
        <v>1216</v>
      </c>
      <c r="D415" s="189" t="s">
        <v>1217</v>
      </c>
      <c r="E415" s="55" t="s">
        <v>1225</v>
      </c>
      <c r="F415" s="55" t="s">
        <v>1226</v>
      </c>
      <c r="G415" s="55" t="s">
        <v>1221</v>
      </c>
      <c r="H415" s="27" t="s">
        <v>25</v>
      </c>
      <c r="J415" s="56"/>
      <c r="K415" s="30">
        <v>45302</v>
      </c>
      <c r="L415" s="54" t="s">
        <v>1222</v>
      </c>
      <c r="M415" s="90"/>
      <c r="N415" s="189" t="s">
        <v>27</v>
      </c>
      <c r="O415" s="90"/>
    </row>
    <row r="416" spans="1:15">
      <c r="A416" s="189" t="s">
        <v>1215</v>
      </c>
      <c r="B416" s="27">
        <v>1</v>
      </c>
      <c r="C416" s="189" t="s">
        <v>1216</v>
      </c>
      <c r="D416" s="189" t="s">
        <v>1217</v>
      </c>
      <c r="E416" s="55" t="s">
        <v>1227</v>
      </c>
      <c r="F416" s="55" t="s">
        <v>1228</v>
      </c>
      <c r="G416" s="55" t="s">
        <v>1221</v>
      </c>
      <c r="H416" s="27" t="s">
        <v>25</v>
      </c>
      <c r="J416" s="56"/>
      <c r="K416" s="30">
        <v>45302</v>
      </c>
      <c r="L416" s="54" t="s">
        <v>1222</v>
      </c>
      <c r="M416" s="90"/>
      <c r="N416" s="189" t="s">
        <v>27</v>
      </c>
      <c r="O416" s="90"/>
    </row>
    <row r="417" spans="1:15">
      <c r="A417" s="189" t="s">
        <v>1215</v>
      </c>
      <c r="B417" s="27">
        <v>1</v>
      </c>
      <c r="C417" s="189" t="s">
        <v>1216</v>
      </c>
      <c r="D417" s="189" t="s">
        <v>1217</v>
      </c>
      <c r="E417" s="55" t="s">
        <v>1229</v>
      </c>
      <c r="F417" s="55" t="s">
        <v>1230</v>
      </c>
      <c r="G417" s="55" t="s">
        <v>1221</v>
      </c>
      <c r="H417" s="27" t="s">
        <v>25</v>
      </c>
      <c r="J417" s="56"/>
      <c r="K417" s="30">
        <v>45302</v>
      </c>
      <c r="L417" s="54" t="s">
        <v>1222</v>
      </c>
      <c r="M417" s="90"/>
      <c r="N417" s="189" t="s">
        <v>27</v>
      </c>
      <c r="O417" s="90"/>
    </row>
    <row r="418" spans="1:15">
      <c r="A418" s="189" t="s">
        <v>1215</v>
      </c>
      <c r="B418" s="27">
        <v>1</v>
      </c>
      <c r="C418" s="189" t="s">
        <v>1216</v>
      </c>
      <c r="D418" s="189" t="s">
        <v>1217</v>
      </c>
      <c r="E418" s="55" t="s">
        <v>1231</v>
      </c>
      <c r="F418" s="55" t="s">
        <v>1232</v>
      </c>
      <c r="G418" s="55" t="s">
        <v>1221</v>
      </c>
      <c r="H418" s="27" t="s">
        <v>25</v>
      </c>
      <c r="J418" s="56"/>
      <c r="K418" s="30">
        <v>45302</v>
      </c>
      <c r="L418" s="54" t="s">
        <v>1222</v>
      </c>
      <c r="M418" s="90"/>
      <c r="N418" s="189" t="s">
        <v>27</v>
      </c>
      <c r="O418" s="90"/>
    </row>
    <row r="419" spans="1:15">
      <c r="A419" s="189" t="s">
        <v>1215</v>
      </c>
      <c r="B419" s="27">
        <v>1</v>
      </c>
      <c r="C419" s="189" t="s">
        <v>1216</v>
      </c>
      <c r="D419" s="189" t="s">
        <v>1217</v>
      </c>
      <c r="E419" s="55" t="s">
        <v>1233</v>
      </c>
      <c r="F419" s="55" t="s">
        <v>1234</v>
      </c>
      <c r="G419" s="55" t="s">
        <v>1221</v>
      </c>
      <c r="H419" s="27" t="s">
        <v>25</v>
      </c>
      <c r="J419" s="56"/>
      <c r="K419" s="30">
        <v>45302</v>
      </c>
      <c r="L419" s="54" t="s">
        <v>1222</v>
      </c>
      <c r="M419" s="90"/>
      <c r="N419" s="189" t="s">
        <v>27</v>
      </c>
      <c r="O419" s="90"/>
    </row>
    <row r="420" spans="1:15">
      <c r="A420" s="189" t="s">
        <v>1215</v>
      </c>
      <c r="B420" s="27">
        <v>1</v>
      </c>
      <c r="C420" s="189" t="s">
        <v>1216</v>
      </c>
      <c r="D420" s="189" t="s">
        <v>1217</v>
      </c>
      <c r="E420" s="55" t="s">
        <v>1235</v>
      </c>
      <c r="F420" s="55" t="s">
        <v>1236</v>
      </c>
      <c r="G420" s="55" t="s">
        <v>1221</v>
      </c>
      <c r="H420" s="27" t="s">
        <v>25</v>
      </c>
      <c r="J420" s="56"/>
      <c r="K420" s="30">
        <v>45302</v>
      </c>
      <c r="L420" s="54" t="s">
        <v>1222</v>
      </c>
      <c r="M420" s="90"/>
      <c r="N420" s="189" t="s">
        <v>27</v>
      </c>
      <c r="O420" s="90"/>
    </row>
    <row r="421" spans="1:15">
      <c r="A421" s="189" t="s">
        <v>1215</v>
      </c>
      <c r="B421" s="27">
        <v>1</v>
      </c>
      <c r="C421" s="189" t="s">
        <v>1216</v>
      </c>
      <c r="D421" s="189" t="s">
        <v>1217</v>
      </c>
      <c r="E421" s="55" t="s">
        <v>1237</v>
      </c>
      <c r="F421" s="55" t="s">
        <v>1238</v>
      </c>
      <c r="G421" s="55" t="s">
        <v>1221</v>
      </c>
      <c r="H421" s="27" t="s">
        <v>25</v>
      </c>
      <c r="J421" s="56"/>
      <c r="K421" s="30">
        <v>45302</v>
      </c>
      <c r="L421" s="54" t="s">
        <v>2071</v>
      </c>
      <c r="M421" s="90"/>
      <c r="N421" s="189" t="s">
        <v>27</v>
      </c>
      <c r="O421" s="90"/>
    </row>
    <row r="422" spans="1:15">
      <c r="A422" s="189" t="s">
        <v>1215</v>
      </c>
      <c r="B422" s="27">
        <v>1</v>
      </c>
      <c r="C422" s="189" t="s">
        <v>1239</v>
      </c>
      <c r="D422" s="189" t="s">
        <v>1240</v>
      </c>
      <c r="E422" s="55" t="s">
        <v>2160</v>
      </c>
      <c r="F422" s="55" t="s">
        <v>2158</v>
      </c>
      <c r="G422" s="55" t="s">
        <v>2155</v>
      </c>
      <c r="H422" s="27" t="s">
        <v>25</v>
      </c>
      <c r="J422" s="56"/>
      <c r="K422" s="30" t="s">
        <v>2156</v>
      </c>
      <c r="L422" s="54" t="s">
        <v>2157</v>
      </c>
      <c r="M422" s="90"/>
      <c r="N422" s="189" t="s">
        <v>27</v>
      </c>
      <c r="O422" s="90"/>
    </row>
    <row r="423" spans="1:15">
      <c r="A423" s="189" t="s">
        <v>1215</v>
      </c>
      <c r="B423" s="27">
        <v>1</v>
      </c>
      <c r="C423" s="189" t="s">
        <v>1239</v>
      </c>
      <c r="D423" s="189" t="s">
        <v>1240</v>
      </c>
      <c r="E423" s="55" t="s">
        <v>2161</v>
      </c>
      <c r="F423" s="55" t="s">
        <v>2159</v>
      </c>
      <c r="G423" s="55" t="s">
        <v>2155</v>
      </c>
      <c r="H423" s="27" t="s">
        <v>25</v>
      </c>
      <c r="J423" s="56"/>
      <c r="K423" s="30" t="s">
        <v>2156</v>
      </c>
      <c r="L423" s="54" t="s">
        <v>2157</v>
      </c>
      <c r="M423" s="90"/>
      <c r="N423" s="189" t="s">
        <v>27</v>
      </c>
      <c r="O423" s="90"/>
    </row>
    <row r="424" spans="1:15">
      <c r="A424" s="189" t="s">
        <v>1215</v>
      </c>
      <c r="B424" s="27">
        <v>1</v>
      </c>
      <c r="C424" s="189" t="s">
        <v>1239</v>
      </c>
      <c r="D424" s="189" t="s">
        <v>1240</v>
      </c>
      <c r="E424" s="55"/>
      <c r="F424" s="55" t="s">
        <v>1241</v>
      </c>
      <c r="G424" s="55" t="s">
        <v>1242</v>
      </c>
      <c r="H424" s="27" t="s">
        <v>25</v>
      </c>
      <c r="J424" s="56"/>
      <c r="K424" s="30">
        <v>45302</v>
      </c>
      <c r="L424" s="54" t="s">
        <v>1222</v>
      </c>
      <c r="M424" s="90"/>
      <c r="N424" s="189" t="s">
        <v>27</v>
      </c>
      <c r="O424" s="90"/>
    </row>
    <row r="425" spans="1:15">
      <c r="A425" s="189" t="s">
        <v>1215</v>
      </c>
      <c r="B425" s="27">
        <v>1</v>
      </c>
      <c r="C425" s="189" t="s">
        <v>1239</v>
      </c>
      <c r="D425" s="189" t="s">
        <v>1240</v>
      </c>
      <c r="E425" s="55"/>
      <c r="F425" s="55" t="s">
        <v>1243</v>
      </c>
      <c r="G425" s="55" t="s">
        <v>1242</v>
      </c>
      <c r="H425" s="27" t="s">
        <v>25</v>
      </c>
      <c r="J425" s="56"/>
      <c r="K425" s="30">
        <v>45302</v>
      </c>
      <c r="L425" s="54" t="s">
        <v>2071</v>
      </c>
      <c r="M425" s="90"/>
      <c r="N425" s="189" t="s">
        <v>27</v>
      </c>
      <c r="O425" s="90"/>
    </row>
    <row r="426" spans="1:15">
      <c r="A426" s="189" t="s">
        <v>1215</v>
      </c>
      <c r="B426" s="27">
        <v>1</v>
      </c>
      <c r="C426" s="189" t="s">
        <v>1239</v>
      </c>
      <c r="D426" s="189" t="s">
        <v>1240</v>
      </c>
      <c r="E426" s="55"/>
      <c r="F426" s="55" t="s">
        <v>1244</v>
      </c>
      <c r="G426" s="55" t="s">
        <v>1242</v>
      </c>
      <c r="H426" s="27" t="s">
        <v>25</v>
      </c>
      <c r="J426" s="56"/>
      <c r="K426" s="30">
        <v>45302</v>
      </c>
      <c r="L426" s="54" t="s">
        <v>1222</v>
      </c>
      <c r="M426" s="90"/>
      <c r="N426" s="189" t="s">
        <v>27</v>
      </c>
      <c r="O426" s="90"/>
    </row>
    <row r="427" spans="1:15">
      <c r="A427" s="189" t="s">
        <v>1215</v>
      </c>
      <c r="B427" s="27">
        <v>1</v>
      </c>
      <c r="C427" s="189" t="s">
        <v>1239</v>
      </c>
      <c r="D427" s="189" t="s">
        <v>1240</v>
      </c>
      <c r="E427" s="55"/>
      <c r="F427" s="55" t="s">
        <v>1245</v>
      </c>
      <c r="G427" s="55" t="s">
        <v>1242</v>
      </c>
      <c r="H427" s="27" t="s">
        <v>25</v>
      </c>
      <c r="J427" s="56"/>
      <c r="K427" s="30">
        <v>45302</v>
      </c>
      <c r="L427" s="54" t="s">
        <v>1222</v>
      </c>
      <c r="M427" s="90"/>
      <c r="N427" s="189" t="s">
        <v>27</v>
      </c>
      <c r="O427" s="90"/>
    </row>
    <row r="428" spans="1:15">
      <c r="A428" s="189" t="s">
        <v>1215</v>
      </c>
      <c r="B428" s="27">
        <v>1</v>
      </c>
      <c r="C428" s="189" t="s">
        <v>1239</v>
      </c>
      <c r="D428" s="189" t="s">
        <v>1240</v>
      </c>
      <c r="E428" s="55"/>
      <c r="F428" s="55" t="s">
        <v>1246</v>
      </c>
      <c r="G428" s="55" t="s">
        <v>1242</v>
      </c>
      <c r="H428" s="27" t="s">
        <v>25</v>
      </c>
      <c r="J428" s="56"/>
      <c r="K428" s="30">
        <v>45302</v>
      </c>
      <c r="L428" s="54" t="s">
        <v>1222</v>
      </c>
      <c r="M428" s="90"/>
      <c r="N428" s="189" t="s">
        <v>27</v>
      </c>
      <c r="O428" s="90"/>
    </row>
    <row r="429" spans="1:15">
      <c r="A429" s="72" t="s">
        <v>1247</v>
      </c>
      <c r="B429" s="72">
        <v>1</v>
      </c>
      <c r="C429" s="72" t="s">
        <v>1248</v>
      </c>
      <c r="D429" s="72" t="s">
        <v>1249</v>
      </c>
      <c r="E429" s="166" t="s">
        <v>1250</v>
      </c>
      <c r="F429" s="166" t="s">
        <v>1251</v>
      </c>
      <c r="G429" s="166" t="s">
        <v>1252</v>
      </c>
      <c r="H429" s="72" t="s">
        <v>25</v>
      </c>
      <c r="I429" s="72"/>
      <c r="J429" s="193"/>
      <c r="K429" s="72" t="s">
        <v>1253</v>
      </c>
      <c r="L429" s="72" t="s">
        <v>1222</v>
      </c>
      <c r="M429" s="172"/>
      <c r="N429" s="171" t="s">
        <v>27</v>
      </c>
      <c r="O429" s="172"/>
    </row>
    <row r="430" spans="1:15">
      <c r="A430" s="72" t="s">
        <v>1254</v>
      </c>
      <c r="B430" s="72">
        <v>1</v>
      </c>
      <c r="C430" s="72" t="s">
        <v>1255</v>
      </c>
      <c r="D430" s="72" t="s">
        <v>1256</v>
      </c>
      <c r="E430" s="166">
        <v>411427306</v>
      </c>
      <c r="F430" s="166" t="s">
        <v>1257</v>
      </c>
      <c r="G430" s="166" t="s">
        <v>1258</v>
      </c>
      <c r="H430" s="72" t="s">
        <v>25</v>
      </c>
      <c r="I430" s="72"/>
      <c r="J430" s="193"/>
      <c r="K430" s="170">
        <v>45455</v>
      </c>
      <c r="L430" s="72" t="s">
        <v>1222</v>
      </c>
      <c r="M430" s="172"/>
      <c r="N430" s="171" t="s">
        <v>27</v>
      </c>
      <c r="O430" s="172"/>
    </row>
    <row r="431" spans="1:15">
      <c r="A431" s="72" t="s">
        <v>250</v>
      </c>
      <c r="B431" s="72">
        <v>1</v>
      </c>
      <c r="C431" s="72" t="s">
        <v>798</v>
      </c>
      <c r="D431" s="72" t="s">
        <v>1259</v>
      </c>
      <c r="E431" s="166"/>
      <c r="F431" s="166" t="s">
        <v>1260</v>
      </c>
      <c r="G431" s="166" t="s">
        <v>1261</v>
      </c>
      <c r="H431" s="72" t="s">
        <v>38</v>
      </c>
      <c r="I431" s="72"/>
      <c r="J431" s="193"/>
      <c r="K431" s="170">
        <v>45547</v>
      </c>
      <c r="L431" s="72" t="s">
        <v>1222</v>
      </c>
      <c r="M431" s="172"/>
      <c r="N431" s="171" t="s">
        <v>27</v>
      </c>
      <c r="O431" s="172"/>
    </row>
    <row r="432" spans="1:15">
      <c r="A432" s="72" t="s">
        <v>250</v>
      </c>
      <c r="B432" s="72">
        <v>1</v>
      </c>
      <c r="C432" s="72" t="s">
        <v>798</v>
      </c>
      <c r="D432" s="72" t="s">
        <v>1259</v>
      </c>
      <c r="E432" s="166"/>
      <c r="F432" s="166" t="s">
        <v>1262</v>
      </c>
      <c r="G432" s="166" t="s">
        <v>1261</v>
      </c>
      <c r="H432" s="72" t="s">
        <v>38</v>
      </c>
      <c r="I432" s="72"/>
      <c r="J432" s="193"/>
      <c r="K432" s="170">
        <v>45547</v>
      </c>
      <c r="L432" s="72" t="s">
        <v>1263</v>
      </c>
      <c r="M432" s="172"/>
      <c r="N432" s="171" t="s">
        <v>27</v>
      </c>
      <c r="O432" s="172"/>
    </row>
    <row r="433" spans="1:15">
      <c r="A433" s="72" t="s">
        <v>2047</v>
      </c>
      <c r="B433" s="72">
        <v>1</v>
      </c>
      <c r="C433" s="72" t="s">
        <v>2051</v>
      </c>
      <c r="D433" s="72" t="s">
        <v>15</v>
      </c>
      <c r="E433" s="166" t="s">
        <v>15</v>
      </c>
      <c r="F433" s="166" t="s">
        <v>15</v>
      </c>
      <c r="G433" s="166" t="s">
        <v>15</v>
      </c>
      <c r="H433" s="72" t="s">
        <v>15</v>
      </c>
      <c r="I433" s="72" t="s">
        <v>15</v>
      </c>
      <c r="J433" s="193" t="s">
        <v>15</v>
      </c>
      <c r="K433" s="170" t="s">
        <v>15</v>
      </c>
      <c r="L433" s="72" t="s">
        <v>15</v>
      </c>
      <c r="M433" s="172"/>
      <c r="N433" s="171" t="s">
        <v>15</v>
      </c>
      <c r="O433" s="172"/>
    </row>
    <row r="434" spans="1:15" s="227" customFormat="1">
      <c r="A434" s="222" t="s">
        <v>2047</v>
      </c>
      <c r="B434" s="222">
        <v>1</v>
      </c>
      <c r="C434" s="222" t="s">
        <v>2051</v>
      </c>
      <c r="D434" s="222" t="s">
        <v>2048</v>
      </c>
      <c r="E434" s="224">
        <v>25097733</v>
      </c>
      <c r="F434" s="224" t="s">
        <v>2055</v>
      </c>
      <c r="G434" s="224" t="s">
        <v>2054</v>
      </c>
      <c r="H434" s="222" t="s">
        <v>25</v>
      </c>
      <c r="I434" s="222"/>
      <c r="J434" s="229"/>
      <c r="K434" s="226" t="s">
        <v>2049</v>
      </c>
      <c r="L434" s="222" t="s">
        <v>25</v>
      </c>
      <c r="M434" s="230"/>
      <c r="N434" s="231" t="s">
        <v>27</v>
      </c>
      <c r="O434" s="230"/>
    </row>
    <row r="435" spans="1:15" s="227" customFormat="1">
      <c r="A435" s="222" t="s">
        <v>2047</v>
      </c>
      <c r="B435" s="222">
        <v>1</v>
      </c>
      <c r="C435" s="222" t="s">
        <v>2051</v>
      </c>
      <c r="D435" s="222" t="s">
        <v>2152</v>
      </c>
      <c r="E435" s="224">
        <v>40584795</v>
      </c>
      <c r="F435" s="224" t="s">
        <v>2153</v>
      </c>
      <c r="G435" s="224" t="s">
        <v>2054</v>
      </c>
      <c r="H435" s="222" t="s">
        <v>25</v>
      </c>
      <c r="I435" s="222"/>
      <c r="J435" s="229"/>
      <c r="K435" s="226" t="s">
        <v>2154</v>
      </c>
      <c r="L435" s="222" t="s">
        <v>25</v>
      </c>
      <c r="M435" s="230"/>
      <c r="N435" s="231" t="s">
        <v>27</v>
      </c>
      <c r="O435" s="230"/>
    </row>
    <row r="436" spans="1:15">
      <c r="A436" s="72" t="s">
        <v>2050</v>
      </c>
      <c r="B436" s="72">
        <v>2</v>
      </c>
      <c r="C436" s="72" t="s">
        <v>2051</v>
      </c>
      <c r="D436" s="72" t="s">
        <v>15</v>
      </c>
      <c r="E436" s="166" t="s">
        <v>15</v>
      </c>
      <c r="F436" s="166" t="s">
        <v>15</v>
      </c>
      <c r="G436" s="166" t="s">
        <v>15</v>
      </c>
      <c r="H436" s="72" t="s">
        <v>15</v>
      </c>
      <c r="I436" s="72" t="s">
        <v>15</v>
      </c>
      <c r="J436" s="193" t="s">
        <v>15</v>
      </c>
      <c r="K436" s="170" t="s">
        <v>15</v>
      </c>
      <c r="L436" s="72" t="s">
        <v>15</v>
      </c>
      <c r="M436" s="172"/>
      <c r="N436" s="171" t="s">
        <v>15</v>
      </c>
      <c r="O436" s="172"/>
    </row>
    <row r="437" spans="1:15" s="210" customFormat="1">
      <c r="A437" s="204" t="s">
        <v>2050</v>
      </c>
      <c r="B437" s="204">
        <v>1</v>
      </c>
      <c r="C437" s="204" t="s">
        <v>2051</v>
      </c>
      <c r="D437" s="204" t="s">
        <v>2052</v>
      </c>
      <c r="E437" s="205">
        <v>2200000576</v>
      </c>
      <c r="F437" s="205" t="s">
        <v>2056</v>
      </c>
      <c r="G437" s="205" t="s">
        <v>2054</v>
      </c>
      <c r="H437" s="204" t="s">
        <v>25</v>
      </c>
      <c r="I437" s="204"/>
      <c r="J437" s="206"/>
      <c r="K437" s="207" t="s">
        <v>2049</v>
      </c>
      <c r="L437" s="204" t="s">
        <v>25</v>
      </c>
      <c r="M437" s="208"/>
      <c r="N437" s="209" t="s">
        <v>27</v>
      </c>
      <c r="O437" s="208"/>
    </row>
    <row r="438" spans="1:15" s="210" customFormat="1">
      <c r="A438" s="204" t="s">
        <v>2050</v>
      </c>
      <c r="B438" s="204">
        <v>1</v>
      </c>
      <c r="C438" s="204" t="s">
        <v>2051</v>
      </c>
      <c r="D438" s="204" t="s">
        <v>2053</v>
      </c>
      <c r="E438" s="205">
        <v>2200000574</v>
      </c>
      <c r="F438" s="205" t="s">
        <v>2057</v>
      </c>
      <c r="G438" s="205" t="s">
        <v>2054</v>
      </c>
      <c r="H438" s="204" t="s">
        <v>25</v>
      </c>
      <c r="I438" s="204"/>
      <c r="J438" s="206"/>
      <c r="K438" s="207" t="s">
        <v>2049</v>
      </c>
      <c r="L438" s="204" t="s">
        <v>25</v>
      </c>
      <c r="M438" s="208"/>
      <c r="N438" s="209" t="s">
        <v>27</v>
      </c>
      <c r="O438" s="208"/>
    </row>
    <row r="439" spans="1:15" s="210" customFormat="1">
      <c r="A439" s="204" t="s">
        <v>2060</v>
      </c>
      <c r="B439" s="204">
        <v>1</v>
      </c>
      <c r="C439" s="204" t="s">
        <v>1941</v>
      </c>
      <c r="D439" s="204" t="s">
        <v>2061</v>
      </c>
      <c r="E439" s="205"/>
      <c r="F439" s="205" t="s">
        <v>2068</v>
      </c>
      <c r="G439" s="205" t="s">
        <v>2062</v>
      </c>
      <c r="H439" s="204" t="s">
        <v>38</v>
      </c>
      <c r="I439" s="204"/>
      <c r="J439" s="206"/>
      <c r="K439" s="207" t="s">
        <v>2049</v>
      </c>
      <c r="L439" s="54" t="s">
        <v>1222</v>
      </c>
      <c r="M439" s="208"/>
      <c r="N439" s="209" t="s">
        <v>27</v>
      </c>
      <c r="O439" s="208"/>
    </row>
    <row r="440" spans="1:15" s="210" customFormat="1">
      <c r="A440" s="204" t="s">
        <v>2060</v>
      </c>
      <c r="B440" s="204">
        <v>1</v>
      </c>
      <c r="C440" s="204" t="s">
        <v>1941</v>
      </c>
      <c r="D440" s="204" t="s">
        <v>2061</v>
      </c>
      <c r="E440" s="205"/>
      <c r="F440" s="205" t="s">
        <v>2069</v>
      </c>
      <c r="G440" s="205" t="s">
        <v>2062</v>
      </c>
      <c r="H440" s="204" t="s">
        <v>38</v>
      </c>
      <c r="I440" s="204"/>
      <c r="J440" s="206"/>
      <c r="K440" s="207" t="s">
        <v>2049</v>
      </c>
      <c r="L440" s="54" t="s">
        <v>1222</v>
      </c>
      <c r="M440" s="208"/>
      <c r="N440" s="209" t="s">
        <v>27</v>
      </c>
      <c r="O440" s="208"/>
    </row>
    <row r="441" spans="1:15" s="210" customFormat="1">
      <c r="A441" s="204" t="s">
        <v>2059</v>
      </c>
      <c r="B441" s="204">
        <v>1</v>
      </c>
      <c r="C441" s="204" t="s">
        <v>2065</v>
      </c>
      <c r="D441" s="204" t="s">
        <v>2066</v>
      </c>
      <c r="E441" s="205"/>
      <c r="F441" s="205" t="s">
        <v>2142</v>
      </c>
      <c r="G441" s="205" t="s">
        <v>2067</v>
      </c>
      <c r="H441" s="204" t="s">
        <v>38</v>
      </c>
      <c r="I441" s="204"/>
      <c r="J441" s="206"/>
      <c r="K441" s="207" t="s">
        <v>2049</v>
      </c>
      <c r="L441" s="54" t="s">
        <v>1222</v>
      </c>
      <c r="M441" s="208"/>
      <c r="N441" s="209" t="s">
        <v>27</v>
      </c>
      <c r="O441" s="208"/>
    </row>
    <row r="442" spans="1:15" s="210" customFormat="1">
      <c r="A442" s="204" t="s">
        <v>2059</v>
      </c>
      <c r="B442" s="204">
        <v>1</v>
      </c>
      <c r="C442" s="204" t="s">
        <v>2065</v>
      </c>
      <c r="D442" s="204" t="s">
        <v>2066</v>
      </c>
      <c r="E442" s="205"/>
      <c r="F442" s="205" t="s">
        <v>2143</v>
      </c>
      <c r="G442" s="205" t="s">
        <v>2067</v>
      </c>
      <c r="H442" s="204" t="s">
        <v>38</v>
      </c>
      <c r="I442" s="204"/>
      <c r="J442" s="206"/>
      <c r="K442" s="207" t="s">
        <v>2049</v>
      </c>
      <c r="L442" s="54" t="s">
        <v>1222</v>
      </c>
      <c r="M442" s="208"/>
      <c r="N442" s="209" t="s">
        <v>27</v>
      </c>
      <c r="O442" s="208"/>
    </row>
    <row r="443" spans="1:15" s="210" customFormat="1">
      <c r="A443" s="204" t="s">
        <v>2059</v>
      </c>
      <c r="B443" s="204">
        <v>1</v>
      </c>
      <c r="C443" s="204" t="s">
        <v>2065</v>
      </c>
      <c r="D443" s="204" t="s">
        <v>2066</v>
      </c>
      <c r="E443" s="205"/>
      <c r="F443" s="205" t="s">
        <v>2144</v>
      </c>
      <c r="G443" s="205" t="s">
        <v>2067</v>
      </c>
      <c r="H443" s="204" t="s">
        <v>38</v>
      </c>
      <c r="I443" s="204"/>
      <c r="J443" s="206"/>
      <c r="K443" s="207" t="s">
        <v>2049</v>
      </c>
      <c r="L443" s="54" t="s">
        <v>1222</v>
      </c>
      <c r="M443" s="208"/>
      <c r="N443" s="209" t="s">
        <v>27</v>
      </c>
      <c r="O443" s="208"/>
    </row>
    <row r="444" spans="1:15" s="210" customFormat="1">
      <c r="A444" s="204" t="s">
        <v>2059</v>
      </c>
      <c r="B444" s="204">
        <v>1</v>
      </c>
      <c r="C444" s="204" t="s">
        <v>2065</v>
      </c>
      <c r="D444" s="204" t="s">
        <v>2066</v>
      </c>
      <c r="E444" s="205"/>
      <c r="F444" s="205" t="s">
        <v>2145</v>
      </c>
      <c r="G444" s="205" t="s">
        <v>2067</v>
      </c>
      <c r="H444" s="204" t="s">
        <v>38</v>
      </c>
      <c r="I444" s="204"/>
      <c r="J444" s="206"/>
      <c r="K444" s="207" t="s">
        <v>2049</v>
      </c>
      <c r="L444" s="54" t="s">
        <v>1222</v>
      </c>
      <c r="M444" s="208"/>
      <c r="N444" s="209" t="s">
        <v>27</v>
      </c>
      <c r="O444" s="208"/>
    </row>
    <row r="445" spans="1:15" s="210" customFormat="1">
      <c r="A445" s="204" t="s">
        <v>2059</v>
      </c>
      <c r="B445" s="204">
        <v>1</v>
      </c>
      <c r="C445" s="204" t="s">
        <v>2065</v>
      </c>
      <c r="D445" s="204" t="s">
        <v>2066</v>
      </c>
      <c r="E445" s="205"/>
      <c r="F445" s="205" t="s">
        <v>2146</v>
      </c>
      <c r="G445" s="205" t="s">
        <v>2067</v>
      </c>
      <c r="H445" s="204" t="s">
        <v>38</v>
      </c>
      <c r="I445" s="204"/>
      <c r="J445" s="206"/>
      <c r="K445" s="207" t="s">
        <v>2049</v>
      </c>
      <c r="L445" s="54" t="s">
        <v>1222</v>
      </c>
      <c r="M445" s="208"/>
      <c r="N445" s="209" t="s">
        <v>27</v>
      </c>
      <c r="O445" s="208"/>
    </row>
    <row r="446" spans="1:15" s="210" customFormat="1">
      <c r="A446" s="204" t="s">
        <v>2059</v>
      </c>
      <c r="B446" s="204">
        <v>1</v>
      </c>
      <c r="C446" s="204" t="s">
        <v>2065</v>
      </c>
      <c r="D446" s="204" t="s">
        <v>2066</v>
      </c>
      <c r="E446" s="205"/>
      <c r="F446" s="205" t="s">
        <v>2147</v>
      </c>
      <c r="G446" s="205" t="s">
        <v>2067</v>
      </c>
      <c r="H446" s="204" t="s">
        <v>38</v>
      </c>
      <c r="I446" s="204"/>
      <c r="J446" s="206"/>
      <c r="K446" s="207" t="s">
        <v>2049</v>
      </c>
      <c r="L446" s="54" t="s">
        <v>1222</v>
      </c>
      <c r="M446" s="208"/>
      <c r="N446" s="209" t="s">
        <v>27</v>
      </c>
      <c r="O446" s="208"/>
    </row>
    <row r="447" spans="1:15" s="210" customFormat="1">
      <c r="A447" s="204" t="s">
        <v>2139</v>
      </c>
      <c r="B447" s="204">
        <v>1</v>
      </c>
      <c r="C447" s="228" t="s">
        <v>2140</v>
      </c>
      <c r="D447" s="204" t="s">
        <v>2141</v>
      </c>
      <c r="E447" s="205">
        <v>25655219</v>
      </c>
      <c r="F447" s="205" t="s">
        <v>2148</v>
      </c>
      <c r="G447" s="205" t="s">
        <v>2151</v>
      </c>
      <c r="H447" s="204" t="s">
        <v>38</v>
      </c>
      <c r="I447" s="204"/>
      <c r="J447" s="206"/>
      <c r="K447" s="207"/>
      <c r="L447" s="54"/>
      <c r="M447" s="208"/>
      <c r="N447" s="209"/>
      <c r="O447" s="208"/>
    </row>
    <row r="448" spans="1:15" s="210" customFormat="1">
      <c r="A448" s="204" t="s">
        <v>2139</v>
      </c>
      <c r="B448" s="204">
        <v>1</v>
      </c>
      <c r="C448" s="228" t="s">
        <v>2140</v>
      </c>
      <c r="D448" s="204" t="s">
        <v>2141</v>
      </c>
      <c r="E448" s="205">
        <v>25644752</v>
      </c>
      <c r="F448" s="205" t="s">
        <v>2149</v>
      </c>
      <c r="G448" s="205" t="s">
        <v>2151</v>
      </c>
      <c r="H448" s="204" t="s">
        <v>38</v>
      </c>
      <c r="I448" s="204"/>
      <c r="J448" s="206"/>
      <c r="K448" s="207"/>
      <c r="L448" s="54"/>
      <c r="M448" s="208"/>
      <c r="N448" s="209"/>
      <c r="O448" s="208"/>
    </row>
    <row r="449" spans="1:15" s="210" customFormat="1">
      <c r="A449" s="204" t="s">
        <v>2063</v>
      </c>
      <c r="B449" s="204">
        <v>2</v>
      </c>
      <c r="C449" s="219" t="s">
        <v>2064</v>
      </c>
      <c r="D449" s="204"/>
      <c r="E449" s="205"/>
      <c r="F449" s="205" t="s">
        <v>2150</v>
      </c>
      <c r="G449" s="205" t="s">
        <v>2062</v>
      </c>
      <c r="H449" s="204" t="s">
        <v>38</v>
      </c>
      <c r="I449" s="204"/>
      <c r="J449" s="206"/>
      <c r="K449" s="207" t="s">
        <v>2049</v>
      </c>
      <c r="L449" s="54" t="s">
        <v>1222</v>
      </c>
      <c r="M449" s="208"/>
      <c r="N449" s="209" t="s">
        <v>27</v>
      </c>
      <c r="O449" s="208"/>
    </row>
    <row r="450" spans="1:15" ht="15.75" customHeight="1">
      <c r="A450" s="27" t="s">
        <v>1094</v>
      </c>
      <c r="B450" s="27">
        <v>749</v>
      </c>
      <c r="C450" s="27"/>
      <c r="D450" s="27"/>
      <c r="E450" s="26"/>
      <c r="F450" s="26"/>
      <c r="G450" s="26"/>
      <c r="H450" s="26"/>
      <c r="I450" s="26"/>
      <c r="J450" s="26"/>
      <c r="K450" s="33"/>
      <c r="L450" s="30"/>
      <c r="M450" s="30"/>
      <c r="N450" s="27"/>
      <c r="O450" s="27"/>
    </row>
    <row r="451" spans="1:15">
      <c r="A451" s="27" t="s">
        <v>1095</v>
      </c>
      <c r="B451" s="16">
        <v>746</v>
      </c>
      <c r="C451" s="27"/>
      <c r="D451" s="27"/>
      <c r="E451" s="26"/>
      <c r="F451" s="26"/>
      <c r="G451" s="26"/>
      <c r="H451" s="26"/>
      <c r="I451" s="26"/>
      <c r="J451" s="26"/>
      <c r="K451" s="33"/>
      <c r="L451" s="30"/>
      <c r="M451" s="30"/>
      <c r="N451" s="27"/>
      <c r="O451" s="27"/>
    </row>
    <row r="452" spans="1:15">
      <c r="A452" s="27"/>
      <c r="B452" s="27"/>
      <c r="C452" s="27"/>
      <c r="D452" s="27"/>
      <c r="E452" s="26"/>
      <c r="F452" s="26"/>
      <c r="G452" s="26"/>
      <c r="H452" s="26"/>
      <c r="I452" s="26"/>
      <c r="J452" s="26"/>
      <c r="K452" s="33"/>
      <c r="L452" s="30"/>
      <c r="M452" s="27"/>
      <c r="N452" s="27"/>
      <c r="O452" s="27"/>
    </row>
    <row r="453" spans="1:15">
      <c r="A453" s="1" t="s">
        <v>1097</v>
      </c>
      <c r="B453" s="132">
        <f>B451/B450</f>
        <v>0.99599465954606137</v>
      </c>
      <c r="M453" s="194"/>
    </row>
    <row r="454" spans="1:15" ht="0.75" customHeight="1"/>
  </sheetData>
  <phoneticPr fontId="13" type="noConversion"/>
  <conditionalFormatting sqref="D300:D302">
    <cfRule type="duplicateValues" dxfId="30" priority="38"/>
  </conditionalFormatting>
  <conditionalFormatting sqref="H3:H13 H50:H51 H34:H48 H28:H32 H25:H26 H15:H22">
    <cfRule type="duplicateValues" dxfId="29" priority="7"/>
  </conditionalFormatting>
  <conditionalFormatting sqref="H53:H58 H60:H61">
    <cfRule type="duplicateValues" dxfId="28" priority="8"/>
  </conditionalFormatting>
  <conditionalFormatting sqref="H118:H130">
    <cfRule type="duplicateValues" dxfId="27" priority="10"/>
  </conditionalFormatting>
  <conditionalFormatting sqref="H294:H295 H271:H278 H213:H222 H137:H139 H211 H192:H194 H190 H181:H187 H169 H151:H167 H147:H149 H141 H267:H268 H259:H263 H255:H257 H251:H253 H248:H249 H239:H242 H234:H237 H231 H291:H292 H200:H209 H196:H198 H171:H179 H280:H283 H297:H299 H285:H289 H225:H227">
    <cfRule type="duplicateValues" dxfId="26" priority="5"/>
  </conditionalFormatting>
  <conditionalFormatting sqref="H376:H386 H112:H116">
    <cfRule type="duplicateValues" dxfId="25" priority="6"/>
  </conditionalFormatting>
  <conditionalFormatting sqref="H391">
    <cfRule type="duplicateValues" dxfId="24" priority="4"/>
  </conditionalFormatting>
  <conditionalFormatting sqref="H450:H2133 H303 H73:H76 H78:H82 H88:H95 H85:H86 H387">
    <cfRule type="duplicateValues" dxfId="23" priority="9"/>
  </conditionalFormatting>
  <pageMargins left="0.7" right="0.7" top="0.75" bottom="0.75" header="0.511811023622047" footer="0.3"/>
  <pageSetup orientation="portrait" horizontalDpi="300" verticalDpi="300" r:id="rId1"/>
  <headerFooter>
    <oddFooter>&amp;RZLGDL-F0119 Rev. 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8EE1A-4817-47D6-8526-1FD23C1CD5F5}">
  <dimension ref="A1:N672"/>
  <sheetViews>
    <sheetView tabSelected="1" topLeftCell="A547" workbookViewId="0">
      <selection activeCell="A454" sqref="A454:XFD454"/>
    </sheetView>
  </sheetViews>
  <sheetFormatPr defaultRowHeight="15"/>
  <cols>
    <col min="1" max="1" width="29.85546875" bestFit="1" customWidth="1"/>
    <col min="3" max="3" width="19.5703125" bestFit="1" customWidth="1"/>
    <col min="4" max="4" width="23.140625" bestFit="1" customWidth="1"/>
    <col min="7" max="7" width="17.7109375" bestFit="1" customWidth="1"/>
    <col min="9" max="9" width="13.85546875" bestFit="1" customWidth="1"/>
    <col min="10" max="10" width="14.7109375" bestFit="1" customWidth="1"/>
  </cols>
  <sheetData>
    <row r="1" spans="1:14" ht="18.75">
      <c r="A1" s="197" t="s">
        <v>1264</v>
      </c>
      <c r="B1" s="197" t="s">
        <v>1265</v>
      </c>
      <c r="C1" s="197" t="s">
        <v>1266</v>
      </c>
      <c r="D1" s="197" t="s">
        <v>1267</v>
      </c>
      <c r="E1" s="197" t="s">
        <v>1268</v>
      </c>
      <c r="F1" s="197" t="s">
        <v>2333</v>
      </c>
      <c r="G1" s="198" t="s">
        <v>11</v>
      </c>
      <c r="H1" s="198" t="s">
        <v>2881</v>
      </c>
      <c r="I1" s="198" t="s">
        <v>2334</v>
      </c>
      <c r="J1" s="197" t="s">
        <v>10</v>
      </c>
      <c r="K1" s="199" t="s">
        <v>1419</v>
      </c>
      <c r="L1" s="10" t="s">
        <v>1116</v>
      </c>
      <c r="M1" s="10" t="s">
        <v>2883</v>
      </c>
      <c r="N1" s="10" t="s">
        <v>1117</v>
      </c>
    </row>
    <row r="2" spans="1:14">
      <c r="A2" s="280" t="s">
        <v>82</v>
      </c>
      <c r="B2" s="280">
        <v>1</v>
      </c>
      <c r="C2" s="280" t="s">
        <v>1420</v>
      </c>
      <c r="D2" s="280" t="s">
        <v>84</v>
      </c>
      <c r="E2" s="283" t="s">
        <v>1421</v>
      </c>
      <c r="F2" s="284" t="s">
        <v>2790</v>
      </c>
      <c r="G2" s="281">
        <v>43717</v>
      </c>
      <c r="H2" s="282">
        <f t="shared" ref="H2:H60" si="0">ABS(YEAR(G2)-2025)</f>
        <v>6</v>
      </c>
      <c r="I2" s="281" t="s">
        <v>2335</v>
      </c>
      <c r="J2" s="280" t="s">
        <v>15</v>
      </c>
      <c r="K2" s="280" t="s">
        <v>2887</v>
      </c>
      <c r="L2" s="72" t="s">
        <v>27</v>
      </c>
      <c r="M2" s="280" t="s">
        <v>27</v>
      </c>
      <c r="N2" s="280" t="s">
        <v>15</v>
      </c>
    </row>
    <row r="3" spans="1:14">
      <c r="A3" s="280" t="s">
        <v>82</v>
      </c>
      <c r="B3" s="280">
        <v>1</v>
      </c>
      <c r="C3" s="280" t="s">
        <v>1420</v>
      </c>
      <c r="D3" s="280" t="s">
        <v>84</v>
      </c>
      <c r="E3" s="283" t="s">
        <v>1422</v>
      </c>
      <c r="F3" s="284" t="s">
        <v>2791</v>
      </c>
      <c r="G3" s="281">
        <v>43717</v>
      </c>
      <c r="H3" s="282">
        <f t="shared" si="0"/>
        <v>6</v>
      </c>
      <c r="I3" s="281" t="s">
        <v>2335</v>
      </c>
      <c r="J3" s="280" t="s">
        <v>15</v>
      </c>
      <c r="K3" s="280" t="s">
        <v>1222</v>
      </c>
      <c r="L3" s="72" t="s">
        <v>27</v>
      </c>
      <c r="M3" s="280" t="s">
        <v>27</v>
      </c>
      <c r="N3" s="280" t="s">
        <v>15</v>
      </c>
    </row>
    <row r="4" spans="1:14">
      <c r="A4" s="246" t="s">
        <v>1423</v>
      </c>
      <c r="B4" s="234">
        <v>1</v>
      </c>
      <c r="C4" s="238" t="s">
        <v>538</v>
      </c>
      <c r="D4" s="238" t="s">
        <v>1424</v>
      </c>
      <c r="E4" s="234" t="s">
        <v>35</v>
      </c>
      <c r="F4" s="278" t="s">
        <v>2792</v>
      </c>
      <c r="G4" s="235">
        <v>45097</v>
      </c>
      <c r="H4" s="268">
        <f t="shared" si="0"/>
        <v>2</v>
      </c>
      <c r="I4" s="235" t="s">
        <v>2335</v>
      </c>
      <c r="J4" s="234" t="s">
        <v>15</v>
      </c>
      <c r="K4" s="234" t="s">
        <v>1182</v>
      </c>
      <c r="L4" s="234" t="s">
        <v>17</v>
      </c>
      <c r="M4" s="234" t="s">
        <v>27</v>
      </c>
      <c r="N4" s="234" t="s">
        <v>15</v>
      </c>
    </row>
    <row r="5" spans="1:14">
      <c r="A5" s="325" t="s">
        <v>2337</v>
      </c>
      <c r="B5" s="316">
        <v>1</v>
      </c>
      <c r="C5" s="326" t="s">
        <v>1152</v>
      </c>
      <c r="D5" s="326" t="s">
        <v>2966</v>
      </c>
      <c r="E5" s="317">
        <v>917431</v>
      </c>
      <c r="F5" s="327" t="s">
        <v>2793</v>
      </c>
      <c r="G5" s="318">
        <v>43728</v>
      </c>
      <c r="H5" s="319">
        <f t="shared" si="0"/>
        <v>6</v>
      </c>
      <c r="I5" s="318" t="s">
        <v>2336</v>
      </c>
      <c r="J5" s="316"/>
      <c r="K5" s="316" t="s">
        <v>102</v>
      </c>
      <c r="L5" s="316" t="s">
        <v>17</v>
      </c>
      <c r="M5" s="316"/>
      <c r="N5" s="316"/>
    </row>
    <row r="6" spans="1:14">
      <c r="A6" s="236" t="s">
        <v>1425</v>
      </c>
      <c r="B6" s="234">
        <v>100</v>
      </c>
      <c r="C6" s="234" t="s">
        <v>1426</v>
      </c>
      <c r="D6" s="234" t="s">
        <v>1427</v>
      </c>
      <c r="E6" s="240" t="s">
        <v>35</v>
      </c>
      <c r="F6" s="240" t="s">
        <v>35</v>
      </c>
      <c r="G6" s="235">
        <v>43909</v>
      </c>
      <c r="H6" s="268">
        <f t="shared" si="0"/>
        <v>5</v>
      </c>
      <c r="I6" s="235" t="s">
        <v>2335</v>
      </c>
      <c r="J6" s="234" t="s">
        <v>15</v>
      </c>
      <c r="K6" s="234" t="s">
        <v>1182</v>
      </c>
      <c r="L6" s="234" t="s">
        <v>17</v>
      </c>
      <c r="M6" s="234"/>
      <c r="N6" s="234" t="s">
        <v>15</v>
      </c>
    </row>
    <row r="7" spans="1:14">
      <c r="A7" s="236" t="s">
        <v>1425</v>
      </c>
      <c r="B7" s="234">
        <v>110</v>
      </c>
      <c r="C7" s="234" t="s">
        <v>1426</v>
      </c>
      <c r="D7" s="234" t="s">
        <v>1428</v>
      </c>
      <c r="E7" s="240" t="s">
        <v>35</v>
      </c>
      <c r="F7" s="240" t="s">
        <v>35</v>
      </c>
      <c r="G7" s="235">
        <v>43909</v>
      </c>
      <c r="H7" s="268">
        <f t="shared" si="0"/>
        <v>5</v>
      </c>
      <c r="I7" s="235" t="s">
        <v>2335</v>
      </c>
      <c r="J7" s="234" t="s">
        <v>15</v>
      </c>
      <c r="K7" s="234" t="s">
        <v>1182</v>
      </c>
      <c r="L7" s="234" t="s">
        <v>17</v>
      </c>
      <c r="M7" s="234"/>
      <c r="N7" s="234" t="s">
        <v>15</v>
      </c>
    </row>
    <row r="8" spans="1:14">
      <c r="A8" s="236" t="s">
        <v>1425</v>
      </c>
      <c r="B8" s="234">
        <v>110</v>
      </c>
      <c r="C8" s="234" t="s">
        <v>1429</v>
      </c>
      <c r="D8" s="234" t="s">
        <v>1430</v>
      </c>
      <c r="E8" s="240" t="s">
        <v>35</v>
      </c>
      <c r="F8" s="240" t="s">
        <v>35</v>
      </c>
      <c r="G8" s="235">
        <v>44432</v>
      </c>
      <c r="H8" s="268">
        <f t="shared" si="0"/>
        <v>4</v>
      </c>
      <c r="I8" s="235" t="s">
        <v>2335</v>
      </c>
      <c r="J8" s="234" t="s">
        <v>15</v>
      </c>
      <c r="K8" s="234" t="s">
        <v>1182</v>
      </c>
      <c r="L8" s="234" t="s">
        <v>17</v>
      </c>
      <c r="M8" s="234"/>
      <c r="N8" s="234" t="s">
        <v>15</v>
      </c>
    </row>
    <row r="9" spans="1:14">
      <c r="A9" s="236" t="s">
        <v>1431</v>
      </c>
      <c r="B9" s="234">
        <v>27</v>
      </c>
      <c r="C9" s="234" t="s">
        <v>1288</v>
      </c>
      <c r="D9" s="234" t="s">
        <v>1432</v>
      </c>
      <c r="E9" s="240" t="s">
        <v>35</v>
      </c>
      <c r="F9" s="240" t="s">
        <v>35</v>
      </c>
      <c r="G9" s="235">
        <v>45562</v>
      </c>
      <c r="H9" s="268">
        <f t="shared" si="0"/>
        <v>1</v>
      </c>
      <c r="I9" s="235" t="s">
        <v>2335</v>
      </c>
      <c r="J9" s="234" t="s">
        <v>15</v>
      </c>
      <c r="K9" s="234" t="s">
        <v>78</v>
      </c>
      <c r="L9" s="234" t="s">
        <v>17</v>
      </c>
      <c r="M9" s="234"/>
      <c r="N9" s="234" t="s">
        <v>15</v>
      </c>
    </row>
    <row r="10" spans="1:14">
      <c r="A10" s="236" t="s">
        <v>1433</v>
      </c>
      <c r="B10" s="234">
        <v>1</v>
      </c>
      <c r="C10" s="234" t="s">
        <v>1051</v>
      </c>
      <c r="D10" s="234" t="s">
        <v>1434</v>
      </c>
      <c r="E10" s="240" t="s">
        <v>1435</v>
      </c>
      <c r="F10" s="243" t="s">
        <v>2339</v>
      </c>
      <c r="G10" s="235" t="s">
        <v>1437</v>
      </c>
      <c r="H10" s="268">
        <f t="shared" si="0"/>
        <v>1</v>
      </c>
      <c r="I10" s="235" t="s">
        <v>2335</v>
      </c>
      <c r="J10" s="234" t="s">
        <v>1436</v>
      </c>
      <c r="K10" s="234" t="s">
        <v>2884</v>
      </c>
      <c r="L10" s="303" t="s">
        <v>17</v>
      </c>
      <c r="M10" s="234" t="s">
        <v>27</v>
      </c>
      <c r="N10" s="234" t="s">
        <v>15</v>
      </c>
    </row>
    <row r="11" spans="1:14">
      <c r="A11" s="236" t="s">
        <v>1438</v>
      </c>
      <c r="B11" s="234">
        <v>40</v>
      </c>
      <c r="C11" s="234" t="s">
        <v>1439</v>
      </c>
      <c r="D11" s="234" t="s">
        <v>1338</v>
      </c>
      <c r="E11" s="240" t="s">
        <v>35</v>
      </c>
      <c r="F11" s="240" t="s">
        <v>35</v>
      </c>
      <c r="G11" s="241">
        <v>44195</v>
      </c>
      <c r="H11" s="270">
        <f t="shared" si="0"/>
        <v>5</v>
      </c>
      <c r="I11" s="235" t="s">
        <v>2335</v>
      </c>
      <c r="J11" s="240" t="s">
        <v>15</v>
      </c>
      <c r="K11" s="240" t="s">
        <v>15</v>
      </c>
      <c r="L11" s="303" t="s">
        <v>17</v>
      </c>
      <c r="M11" s="234" t="s">
        <v>27</v>
      </c>
      <c r="N11" s="234" t="s">
        <v>15</v>
      </c>
    </row>
    <row r="12" spans="1:14">
      <c r="A12" s="236" t="s">
        <v>1438</v>
      </c>
      <c r="B12" s="234">
        <v>3</v>
      </c>
      <c r="C12" s="234" t="s">
        <v>1440</v>
      </c>
      <c r="D12" s="234" t="s">
        <v>1441</v>
      </c>
      <c r="E12" s="240" t="s">
        <v>35</v>
      </c>
      <c r="F12" s="240" t="s">
        <v>35</v>
      </c>
      <c r="G12" s="241">
        <v>45181</v>
      </c>
      <c r="H12" s="270">
        <f t="shared" si="0"/>
        <v>2</v>
      </c>
      <c r="I12" s="235" t="s">
        <v>2335</v>
      </c>
      <c r="J12" s="240" t="s">
        <v>15</v>
      </c>
      <c r="K12" s="240" t="s">
        <v>15</v>
      </c>
      <c r="L12" s="303" t="s">
        <v>17</v>
      </c>
      <c r="M12" s="234" t="s">
        <v>27</v>
      </c>
      <c r="N12" s="234" t="s">
        <v>15</v>
      </c>
    </row>
    <row r="13" spans="1:14">
      <c r="A13" s="338" t="s">
        <v>1442</v>
      </c>
      <c r="B13" s="304">
        <v>1</v>
      </c>
      <c r="C13" s="304" t="s">
        <v>1443</v>
      </c>
      <c r="D13" s="304" t="s">
        <v>1444</v>
      </c>
      <c r="E13" s="304">
        <v>9090619</v>
      </c>
      <c r="F13" s="262" t="s">
        <v>2340</v>
      </c>
      <c r="G13" s="308">
        <v>43717</v>
      </c>
      <c r="H13" s="307">
        <f t="shared" si="0"/>
        <v>6</v>
      </c>
      <c r="I13" s="308" t="s">
        <v>1156</v>
      </c>
      <c r="J13" s="304" t="s">
        <v>15</v>
      </c>
      <c r="K13" s="304" t="s">
        <v>1222</v>
      </c>
      <c r="L13" s="304" t="s">
        <v>17</v>
      </c>
      <c r="M13" s="304" t="s">
        <v>27</v>
      </c>
      <c r="N13" s="304" t="s">
        <v>2985</v>
      </c>
    </row>
    <row r="14" spans="1:14">
      <c r="A14" s="280" t="s">
        <v>1445</v>
      </c>
      <c r="B14" s="280">
        <v>1</v>
      </c>
      <c r="C14" s="280" t="s">
        <v>1446</v>
      </c>
      <c r="D14" s="280" t="s">
        <v>1447</v>
      </c>
      <c r="E14" s="280" t="s">
        <v>35</v>
      </c>
      <c r="F14" s="284" t="s">
        <v>2794</v>
      </c>
      <c r="G14" s="281">
        <v>44785</v>
      </c>
      <c r="H14" s="282">
        <f t="shared" si="0"/>
        <v>3</v>
      </c>
      <c r="I14" s="281" t="s">
        <v>2335</v>
      </c>
      <c r="J14" s="280" t="s">
        <v>15</v>
      </c>
      <c r="K14" s="280" t="s">
        <v>2884</v>
      </c>
      <c r="L14" s="280" t="s">
        <v>27</v>
      </c>
      <c r="M14" s="280" t="s">
        <v>27</v>
      </c>
      <c r="N14" s="280" t="s">
        <v>15</v>
      </c>
    </row>
    <row r="15" spans="1:14">
      <c r="A15" s="280" t="s">
        <v>1445</v>
      </c>
      <c r="B15" s="280">
        <v>1</v>
      </c>
      <c r="C15" s="280" t="s">
        <v>1446</v>
      </c>
      <c r="D15" s="280" t="s">
        <v>1447</v>
      </c>
      <c r="E15" s="280" t="s">
        <v>35</v>
      </c>
      <c r="F15" s="284" t="s">
        <v>2795</v>
      </c>
      <c r="G15" s="281">
        <v>44785</v>
      </c>
      <c r="H15" s="282">
        <f t="shared" si="0"/>
        <v>3</v>
      </c>
      <c r="I15" s="281" t="s">
        <v>2335</v>
      </c>
      <c r="J15" s="280" t="s">
        <v>15</v>
      </c>
      <c r="K15" s="280" t="s">
        <v>78</v>
      </c>
      <c r="L15" s="280" t="s">
        <v>27</v>
      </c>
      <c r="M15" s="280" t="s">
        <v>27</v>
      </c>
      <c r="N15" s="280" t="s">
        <v>15</v>
      </c>
    </row>
    <row r="16" spans="1:14">
      <c r="A16" s="280" t="s">
        <v>1445</v>
      </c>
      <c r="B16" s="280">
        <v>1</v>
      </c>
      <c r="C16" s="280" t="s">
        <v>1446</v>
      </c>
      <c r="D16" s="280" t="s">
        <v>1447</v>
      </c>
      <c r="E16" s="280" t="s">
        <v>35</v>
      </c>
      <c r="F16" s="284" t="s">
        <v>2796</v>
      </c>
      <c r="G16" s="281">
        <v>44785</v>
      </c>
      <c r="H16" s="282">
        <f t="shared" si="0"/>
        <v>3</v>
      </c>
      <c r="I16" s="281" t="s">
        <v>2335</v>
      </c>
      <c r="J16" s="280" t="s">
        <v>15</v>
      </c>
      <c r="K16" s="280" t="s">
        <v>1823</v>
      </c>
      <c r="L16" s="280" t="s">
        <v>27</v>
      </c>
      <c r="M16" s="280" t="s">
        <v>27</v>
      </c>
      <c r="N16" s="280" t="s">
        <v>15</v>
      </c>
    </row>
    <row r="17" spans="1:14">
      <c r="A17" s="280" t="s">
        <v>1445</v>
      </c>
      <c r="B17" s="280">
        <v>1</v>
      </c>
      <c r="C17" s="280" t="s">
        <v>1446</v>
      </c>
      <c r="D17" s="280" t="s">
        <v>1447</v>
      </c>
      <c r="E17" s="280" t="s">
        <v>35</v>
      </c>
      <c r="F17" s="284" t="s">
        <v>2797</v>
      </c>
      <c r="G17" s="281">
        <v>44785</v>
      </c>
      <c r="H17" s="282">
        <f t="shared" si="0"/>
        <v>3</v>
      </c>
      <c r="I17" s="281" t="s">
        <v>2335</v>
      </c>
      <c r="J17" s="280" t="s">
        <v>15</v>
      </c>
      <c r="K17" s="280" t="s">
        <v>2902</v>
      </c>
      <c r="L17" s="280" t="s">
        <v>27</v>
      </c>
      <c r="M17" s="280" t="s">
        <v>27</v>
      </c>
      <c r="N17" s="280" t="s">
        <v>15</v>
      </c>
    </row>
    <row r="18" spans="1:14">
      <c r="A18" s="262" t="s">
        <v>1448</v>
      </c>
      <c r="B18" s="262">
        <v>1</v>
      </c>
      <c r="C18" s="262" t="s">
        <v>1449</v>
      </c>
      <c r="D18" s="262" t="s">
        <v>1450</v>
      </c>
      <c r="E18" s="263" t="s">
        <v>1451</v>
      </c>
      <c r="F18" s="262" t="s">
        <v>2341</v>
      </c>
      <c r="G18" s="264">
        <v>43728</v>
      </c>
      <c r="H18" s="271">
        <f t="shared" si="0"/>
        <v>6</v>
      </c>
      <c r="I18" s="264" t="s">
        <v>2336</v>
      </c>
      <c r="J18" s="262" t="s">
        <v>15</v>
      </c>
      <c r="K18" s="262" t="s">
        <v>1452</v>
      </c>
      <c r="L18" s="304" t="s">
        <v>2960</v>
      </c>
      <c r="M18" s="262"/>
      <c r="N18" s="262" t="s">
        <v>1453</v>
      </c>
    </row>
    <row r="19" spans="1:14">
      <c r="A19" s="262" t="s">
        <v>1448</v>
      </c>
      <c r="B19" s="262">
        <v>1</v>
      </c>
      <c r="C19" s="262" t="s">
        <v>1449</v>
      </c>
      <c r="D19" s="262" t="s">
        <v>1454</v>
      </c>
      <c r="E19" s="262">
        <v>1001619</v>
      </c>
      <c r="F19" s="262" t="s">
        <v>2342</v>
      </c>
      <c r="G19" s="264">
        <v>43728</v>
      </c>
      <c r="H19" s="271">
        <f t="shared" si="0"/>
        <v>6</v>
      </c>
      <c r="I19" s="264" t="s">
        <v>2336</v>
      </c>
      <c r="J19" s="262" t="s">
        <v>15</v>
      </c>
      <c r="K19" s="262" t="s">
        <v>15</v>
      </c>
      <c r="L19" s="262" t="s">
        <v>2329</v>
      </c>
      <c r="M19" s="262"/>
      <c r="N19" s="262" t="s">
        <v>15</v>
      </c>
    </row>
    <row r="20" spans="1:14">
      <c r="A20" s="262" t="s">
        <v>1448</v>
      </c>
      <c r="B20" s="262">
        <v>1</v>
      </c>
      <c r="C20" s="262" t="s">
        <v>1455</v>
      </c>
      <c r="D20" s="262" t="s">
        <v>1456</v>
      </c>
      <c r="E20" s="262" t="s">
        <v>1457</v>
      </c>
      <c r="F20" s="262" t="s">
        <v>2343</v>
      </c>
      <c r="G20" s="264">
        <v>43728</v>
      </c>
      <c r="H20" s="271">
        <f t="shared" si="0"/>
        <v>6</v>
      </c>
      <c r="I20" s="264" t="s">
        <v>2336</v>
      </c>
      <c r="J20" s="262" t="s">
        <v>15</v>
      </c>
      <c r="K20" s="262" t="s">
        <v>15</v>
      </c>
      <c r="L20" s="262" t="s">
        <v>2329</v>
      </c>
      <c r="M20" s="262"/>
      <c r="N20" s="262" t="s">
        <v>15</v>
      </c>
    </row>
    <row r="21" spans="1:14">
      <c r="A21" s="317" t="s">
        <v>1448</v>
      </c>
      <c r="B21" s="317">
        <v>1</v>
      </c>
      <c r="C21" s="317" t="s">
        <v>1455</v>
      </c>
      <c r="D21" s="317" t="s">
        <v>1456</v>
      </c>
      <c r="E21" s="317" t="s">
        <v>1458</v>
      </c>
      <c r="F21" s="317" t="s">
        <v>2344</v>
      </c>
      <c r="G21" s="320">
        <v>43728</v>
      </c>
      <c r="H21" s="321">
        <f t="shared" si="0"/>
        <v>6</v>
      </c>
      <c r="I21" s="320" t="s">
        <v>2336</v>
      </c>
      <c r="J21" s="317" t="s">
        <v>15</v>
      </c>
      <c r="K21" s="317" t="s">
        <v>2888</v>
      </c>
      <c r="L21" s="317" t="s">
        <v>27</v>
      </c>
      <c r="M21" s="317"/>
      <c r="N21" s="317" t="s">
        <v>15</v>
      </c>
    </row>
    <row r="22" spans="1:14">
      <c r="A22" s="317" t="s">
        <v>1448</v>
      </c>
      <c r="B22" s="317">
        <v>1</v>
      </c>
      <c r="C22" s="317" t="s">
        <v>1459</v>
      </c>
      <c r="D22" s="317" t="s">
        <v>1460</v>
      </c>
      <c r="E22" s="317">
        <v>907000491</v>
      </c>
      <c r="F22" s="317" t="s">
        <v>2345</v>
      </c>
      <c r="G22" s="320">
        <v>43717</v>
      </c>
      <c r="H22" s="321">
        <f t="shared" si="0"/>
        <v>6</v>
      </c>
      <c r="I22" s="320" t="s">
        <v>1156</v>
      </c>
      <c r="J22" s="317" t="s">
        <v>15</v>
      </c>
      <c r="K22" s="317"/>
      <c r="L22" s="317" t="s">
        <v>27</v>
      </c>
      <c r="M22" s="317"/>
      <c r="N22" s="317" t="s">
        <v>15</v>
      </c>
    </row>
    <row r="23" spans="1:14">
      <c r="A23" s="317" t="s">
        <v>1448</v>
      </c>
      <c r="B23" s="317">
        <v>1</v>
      </c>
      <c r="C23" s="317" t="s">
        <v>1459</v>
      </c>
      <c r="D23" s="317" t="s">
        <v>1460</v>
      </c>
      <c r="E23" s="317">
        <v>907000418</v>
      </c>
      <c r="F23" s="317" t="s">
        <v>2346</v>
      </c>
      <c r="G23" s="320">
        <v>43717</v>
      </c>
      <c r="H23" s="321">
        <f t="shared" si="0"/>
        <v>6</v>
      </c>
      <c r="I23" s="320" t="s">
        <v>1156</v>
      </c>
      <c r="J23" s="317" t="s">
        <v>15</v>
      </c>
      <c r="K23" s="317" t="s">
        <v>15</v>
      </c>
      <c r="L23" s="317" t="s">
        <v>27</v>
      </c>
      <c r="M23" s="317"/>
      <c r="N23" s="317" t="s">
        <v>15</v>
      </c>
    </row>
    <row r="24" spans="1:14">
      <c r="A24" s="317" t="s">
        <v>1448</v>
      </c>
      <c r="B24" s="317">
        <v>1</v>
      </c>
      <c r="C24" s="317" t="s">
        <v>1459</v>
      </c>
      <c r="D24" s="317" t="s">
        <v>1460</v>
      </c>
      <c r="E24" s="317">
        <v>907000480</v>
      </c>
      <c r="F24" s="317" t="s">
        <v>2347</v>
      </c>
      <c r="G24" s="320">
        <v>43717</v>
      </c>
      <c r="H24" s="321">
        <f t="shared" si="0"/>
        <v>6</v>
      </c>
      <c r="I24" s="320" t="s">
        <v>1156</v>
      </c>
      <c r="J24" s="317" t="s">
        <v>15</v>
      </c>
      <c r="K24" s="317" t="s">
        <v>15</v>
      </c>
      <c r="L24" s="317" t="s">
        <v>27</v>
      </c>
      <c r="M24" s="317"/>
      <c r="N24" s="317" t="s">
        <v>15</v>
      </c>
    </row>
    <row r="25" spans="1:14">
      <c r="A25" s="317" t="s">
        <v>1448</v>
      </c>
      <c r="B25" s="317">
        <v>1</v>
      </c>
      <c r="C25" s="317" t="s">
        <v>1051</v>
      </c>
      <c r="D25" s="317" t="s">
        <v>1461</v>
      </c>
      <c r="E25" s="317" t="s">
        <v>1462</v>
      </c>
      <c r="F25" s="317" t="s">
        <v>2348</v>
      </c>
      <c r="G25" s="320">
        <v>43728</v>
      </c>
      <c r="H25" s="321">
        <f t="shared" si="0"/>
        <v>6</v>
      </c>
      <c r="I25" s="320" t="s">
        <v>2336</v>
      </c>
      <c r="J25" s="317" t="s">
        <v>15</v>
      </c>
      <c r="K25" s="317" t="s">
        <v>2889</v>
      </c>
      <c r="L25" s="317" t="s">
        <v>27</v>
      </c>
      <c r="M25" s="317"/>
      <c r="N25" s="317" t="s">
        <v>15</v>
      </c>
    </row>
    <row r="26" spans="1:14">
      <c r="A26" s="317" t="s">
        <v>1448</v>
      </c>
      <c r="B26" s="317">
        <v>1</v>
      </c>
      <c r="C26" s="317" t="s">
        <v>1051</v>
      </c>
      <c r="D26" s="317" t="s">
        <v>1461</v>
      </c>
      <c r="E26" s="317" t="s">
        <v>1463</v>
      </c>
      <c r="F26" s="317" t="s">
        <v>2349</v>
      </c>
      <c r="G26" s="320">
        <v>43728</v>
      </c>
      <c r="H26" s="321">
        <f t="shared" si="0"/>
        <v>6</v>
      </c>
      <c r="I26" s="320" t="s">
        <v>2336</v>
      </c>
      <c r="J26" s="317" t="s">
        <v>15</v>
      </c>
      <c r="K26" s="317" t="s">
        <v>15</v>
      </c>
      <c r="L26" s="317" t="s">
        <v>15</v>
      </c>
      <c r="M26" s="317"/>
      <c r="N26" s="317" t="s">
        <v>15</v>
      </c>
    </row>
    <row r="27" spans="1:14">
      <c r="A27" s="317" t="s">
        <v>1448</v>
      </c>
      <c r="B27" s="317">
        <v>1</v>
      </c>
      <c r="C27" s="317" t="s">
        <v>1459</v>
      </c>
      <c r="D27" s="317" t="s">
        <v>1460</v>
      </c>
      <c r="E27" s="317">
        <v>907000420</v>
      </c>
      <c r="F27" s="317" t="s">
        <v>2350</v>
      </c>
      <c r="G27" s="320">
        <v>43717</v>
      </c>
      <c r="H27" s="321">
        <f t="shared" si="0"/>
        <v>6</v>
      </c>
      <c r="I27" s="320" t="s">
        <v>1156</v>
      </c>
      <c r="J27" s="317" t="s">
        <v>15</v>
      </c>
      <c r="K27" s="317" t="s">
        <v>102</v>
      </c>
      <c r="L27" s="317" t="s">
        <v>15</v>
      </c>
      <c r="M27" s="317"/>
      <c r="N27" s="317" t="s">
        <v>15</v>
      </c>
    </row>
    <row r="28" spans="1:14">
      <c r="A28" s="262" t="s">
        <v>1448</v>
      </c>
      <c r="B28" s="262">
        <v>1</v>
      </c>
      <c r="C28" s="262" t="s">
        <v>1449</v>
      </c>
      <c r="D28" s="262" t="s">
        <v>1454</v>
      </c>
      <c r="E28" s="262">
        <v>1001662</v>
      </c>
      <c r="F28" s="262" t="s">
        <v>2351</v>
      </c>
      <c r="G28" s="264">
        <v>43728</v>
      </c>
      <c r="H28" s="271">
        <f t="shared" si="0"/>
        <v>6</v>
      </c>
      <c r="I28" s="264" t="s">
        <v>2336</v>
      </c>
      <c r="J28" s="262" t="s">
        <v>15</v>
      </c>
      <c r="K28" s="262" t="s">
        <v>15</v>
      </c>
      <c r="L28" s="262" t="s">
        <v>2329</v>
      </c>
      <c r="M28" s="262"/>
      <c r="N28" s="262" t="s">
        <v>15</v>
      </c>
    </row>
    <row r="29" spans="1:14">
      <c r="A29" s="262" t="s">
        <v>1448</v>
      </c>
      <c r="B29" s="262">
        <v>1</v>
      </c>
      <c r="C29" s="262" t="s">
        <v>1449</v>
      </c>
      <c r="D29" s="262" t="s">
        <v>1454</v>
      </c>
      <c r="E29" s="262">
        <v>1001664</v>
      </c>
      <c r="F29" s="262" t="s">
        <v>2352</v>
      </c>
      <c r="G29" s="264">
        <v>43728</v>
      </c>
      <c r="H29" s="271">
        <f t="shared" si="0"/>
        <v>6</v>
      </c>
      <c r="I29" s="264" t="s">
        <v>2336</v>
      </c>
      <c r="J29" s="262" t="s">
        <v>15</v>
      </c>
      <c r="K29" s="262" t="s">
        <v>15</v>
      </c>
      <c r="L29" s="262" t="s">
        <v>2329</v>
      </c>
      <c r="M29" s="262"/>
      <c r="N29" s="262" t="s">
        <v>15</v>
      </c>
    </row>
    <row r="30" spans="1:14">
      <c r="A30" s="262" t="s">
        <v>1448</v>
      </c>
      <c r="B30" s="262">
        <v>1</v>
      </c>
      <c r="C30" s="262" t="s">
        <v>1449</v>
      </c>
      <c r="D30" s="262" t="s">
        <v>1454</v>
      </c>
      <c r="E30" s="262">
        <v>1001663</v>
      </c>
      <c r="F30" s="262" t="s">
        <v>2353</v>
      </c>
      <c r="G30" s="264">
        <v>43728</v>
      </c>
      <c r="H30" s="271">
        <f t="shared" si="0"/>
        <v>6</v>
      </c>
      <c r="I30" s="264" t="s">
        <v>2336</v>
      </c>
      <c r="J30" s="262" t="s">
        <v>15</v>
      </c>
      <c r="K30" s="262" t="s">
        <v>15</v>
      </c>
      <c r="L30" s="262" t="s">
        <v>2329</v>
      </c>
      <c r="M30" s="262"/>
      <c r="N30" s="262" t="s">
        <v>15</v>
      </c>
    </row>
    <row r="31" spans="1:14">
      <c r="A31" s="262" t="s">
        <v>1448</v>
      </c>
      <c r="B31" s="262">
        <v>1</v>
      </c>
      <c r="C31" s="262" t="s">
        <v>1459</v>
      </c>
      <c r="D31" s="262" t="s">
        <v>1460</v>
      </c>
      <c r="E31" s="262">
        <v>907000493</v>
      </c>
      <c r="F31" s="262" t="s">
        <v>2354</v>
      </c>
      <c r="G31" s="264">
        <v>43717</v>
      </c>
      <c r="H31" s="271">
        <f t="shared" si="0"/>
        <v>6</v>
      </c>
      <c r="I31" s="264" t="s">
        <v>1156</v>
      </c>
      <c r="J31" s="262" t="s">
        <v>15</v>
      </c>
      <c r="K31" s="262" t="s">
        <v>1452</v>
      </c>
      <c r="L31" s="304" t="s">
        <v>2960</v>
      </c>
      <c r="M31" s="262"/>
      <c r="N31" s="262" t="s">
        <v>1453</v>
      </c>
    </row>
    <row r="32" spans="1:14">
      <c r="A32" s="317" t="s">
        <v>1448</v>
      </c>
      <c r="B32" s="317">
        <v>1</v>
      </c>
      <c r="C32" s="317" t="s">
        <v>1051</v>
      </c>
      <c r="D32" s="317" t="s">
        <v>1461</v>
      </c>
      <c r="E32" s="317" t="s">
        <v>1464</v>
      </c>
      <c r="F32" s="317" t="s">
        <v>2355</v>
      </c>
      <c r="G32" s="320">
        <v>43728</v>
      </c>
      <c r="H32" s="321">
        <f t="shared" si="0"/>
        <v>6</v>
      </c>
      <c r="I32" s="320" t="s">
        <v>2336</v>
      </c>
      <c r="J32" s="317" t="s">
        <v>15</v>
      </c>
      <c r="K32" s="317" t="s">
        <v>2889</v>
      </c>
      <c r="L32" s="317" t="s">
        <v>27</v>
      </c>
      <c r="M32" s="317" t="s">
        <v>27</v>
      </c>
      <c r="N32" s="317" t="s">
        <v>15</v>
      </c>
    </row>
    <row r="33" spans="1:14">
      <c r="A33" s="317" t="s">
        <v>1274</v>
      </c>
      <c r="B33" s="317">
        <v>1</v>
      </c>
      <c r="C33" s="317" t="s">
        <v>1051</v>
      </c>
      <c r="D33" s="317" t="s">
        <v>1275</v>
      </c>
      <c r="E33" s="317" t="s">
        <v>1465</v>
      </c>
      <c r="F33" s="317" t="s">
        <v>2356</v>
      </c>
      <c r="G33" s="320">
        <v>44378</v>
      </c>
      <c r="H33" s="321">
        <f t="shared" si="0"/>
        <v>4</v>
      </c>
      <c r="I33" s="320" t="s">
        <v>2336</v>
      </c>
      <c r="J33" s="317" t="s">
        <v>15</v>
      </c>
      <c r="K33" s="317" t="s">
        <v>2889</v>
      </c>
      <c r="L33" s="317" t="s">
        <v>27</v>
      </c>
      <c r="M33" s="317" t="s">
        <v>27</v>
      </c>
      <c r="N33" s="317" t="s">
        <v>15</v>
      </c>
    </row>
    <row r="34" spans="1:14">
      <c r="A34" s="317" t="s">
        <v>1274</v>
      </c>
      <c r="B34" s="317">
        <v>1</v>
      </c>
      <c r="C34" s="317" t="s">
        <v>1051</v>
      </c>
      <c r="D34" s="317" t="s">
        <v>1466</v>
      </c>
      <c r="E34" s="317" t="s">
        <v>1467</v>
      </c>
      <c r="F34" s="317" t="s">
        <v>2357</v>
      </c>
      <c r="G34" s="320">
        <v>44378</v>
      </c>
      <c r="H34" s="321">
        <f t="shared" si="0"/>
        <v>4</v>
      </c>
      <c r="I34" s="320" t="s">
        <v>2336</v>
      </c>
      <c r="J34" s="317" t="s">
        <v>15</v>
      </c>
      <c r="K34" s="317" t="s">
        <v>2889</v>
      </c>
      <c r="L34" s="317" t="s">
        <v>27</v>
      </c>
      <c r="M34" s="317" t="s">
        <v>27</v>
      </c>
      <c r="N34" s="317" t="s">
        <v>15</v>
      </c>
    </row>
    <row r="35" spans="1:14">
      <c r="A35" s="317" t="s">
        <v>1274</v>
      </c>
      <c r="B35" s="317">
        <v>1</v>
      </c>
      <c r="C35" s="317" t="s">
        <v>1459</v>
      </c>
      <c r="D35" s="317" t="s">
        <v>3019</v>
      </c>
      <c r="E35" s="317">
        <v>532202551</v>
      </c>
      <c r="F35" s="317" t="s">
        <v>3017</v>
      </c>
      <c r="G35" s="320">
        <v>46162</v>
      </c>
      <c r="H35" s="321">
        <f t="shared" si="0"/>
        <v>1</v>
      </c>
      <c r="I35" s="320" t="s">
        <v>3011</v>
      </c>
      <c r="J35" s="317"/>
      <c r="K35" s="317" t="s">
        <v>102</v>
      </c>
      <c r="L35" s="317"/>
      <c r="M35" s="317"/>
      <c r="N35" s="317"/>
    </row>
    <row r="36" spans="1:14">
      <c r="A36" s="317" t="s">
        <v>1274</v>
      </c>
      <c r="B36" s="317">
        <v>1</v>
      </c>
      <c r="C36" s="317" t="s">
        <v>1459</v>
      </c>
      <c r="D36" s="317" t="s">
        <v>3019</v>
      </c>
      <c r="E36" s="317">
        <v>621200562</v>
      </c>
      <c r="F36" s="317" t="s">
        <v>3018</v>
      </c>
      <c r="G36" s="320">
        <v>46162</v>
      </c>
      <c r="H36" s="321">
        <f t="shared" si="0"/>
        <v>1</v>
      </c>
      <c r="I36" s="320" t="s">
        <v>3011</v>
      </c>
      <c r="J36" s="317"/>
      <c r="K36" s="317" t="s">
        <v>102</v>
      </c>
      <c r="L36" s="317"/>
      <c r="M36" s="317"/>
      <c r="N36" s="317"/>
    </row>
    <row r="37" spans="1:14">
      <c r="A37" s="236" t="s">
        <v>1468</v>
      </c>
      <c r="B37" s="239">
        <v>1</v>
      </c>
      <c r="C37" s="234" t="s">
        <v>1051</v>
      </c>
      <c r="D37" s="234" t="s">
        <v>1469</v>
      </c>
      <c r="E37" s="234" t="s">
        <v>1470</v>
      </c>
      <c r="F37" s="243" t="s">
        <v>2358</v>
      </c>
      <c r="G37" s="241">
        <v>44357</v>
      </c>
      <c r="H37" s="270">
        <f t="shared" si="0"/>
        <v>4</v>
      </c>
      <c r="I37" s="241" t="s">
        <v>2335</v>
      </c>
      <c r="J37" s="240" t="s">
        <v>15</v>
      </c>
      <c r="K37" s="243" t="s">
        <v>2889</v>
      </c>
      <c r="L37" s="234" t="s">
        <v>17</v>
      </c>
      <c r="M37" s="243" t="s">
        <v>27</v>
      </c>
      <c r="N37" s="234" t="s">
        <v>15</v>
      </c>
    </row>
    <row r="38" spans="1:14">
      <c r="A38" s="236" t="s">
        <v>1471</v>
      </c>
      <c r="B38" s="234">
        <v>1</v>
      </c>
      <c r="C38" s="234" t="s">
        <v>1472</v>
      </c>
      <c r="D38" s="234" t="s">
        <v>1473</v>
      </c>
      <c r="E38" s="234" t="s">
        <v>35</v>
      </c>
      <c r="F38" s="278" t="s">
        <v>2805</v>
      </c>
      <c r="G38" s="241">
        <v>44357</v>
      </c>
      <c r="H38" s="270">
        <f t="shared" si="0"/>
        <v>4</v>
      </c>
      <c r="I38" s="241" t="s">
        <v>2335</v>
      </c>
      <c r="J38" s="240" t="s">
        <v>15</v>
      </c>
      <c r="K38" s="234" t="s">
        <v>2889</v>
      </c>
      <c r="L38" s="303" t="s">
        <v>17</v>
      </c>
      <c r="M38" s="234" t="s">
        <v>27</v>
      </c>
      <c r="N38" s="234" t="s">
        <v>15</v>
      </c>
    </row>
    <row r="39" spans="1:14">
      <c r="A39" s="317" t="s">
        <v>1474</v>
      </c>
      <c r="B39" s="317">
        <v>1</v>
      </c>
      <c r="C39" s="317" t="s">
        <v>1475</v>
      </c>
      <c r="D39" s="317" t="s">
        <v>1476</v>
      </c>
      <c r="E39" s="317" t="s">
        <v>2874</v>
      </c>
      <c r="F39" s="317" t="s">
        <v>2359</v>
      </c>
      <c r="G39" s="320">
        <v>43717</v>
      </c>
      <c r="H39" s="321">
        <f t="shared" si="0"/>
        <v>6</v>
      </c>
      <c r="I39" s="320" t="s">
        <v>1156</v>
      </c>
      <c r="J39" s="317" t="s">
        <v>15</v>
      </c>
      <c r="K39" s="317" t="s">
        <v>2945</v>
      </c>
      <c r="L39" s="317" t="s">
        <v>27</v>
      </c>
      <c r="M39" s="317" t="s">
        <v>27</v>
      </c>
      <c r="N39" s="317" t="s">
        <v>15</v>
      </c>
    </row>
    <row r="40" spans="1:14">
      <c r="A40" s="317" t="s">
        <v>1474</v>
      </c>
      <c r="B40" s="317">
        <v>1</v>
      </c>
      <c r="C40" s="317" t="s">
        <v>1475</v>
      </c>
      <c r="D40" s="317" t="s">
        <v>1476</v>
      </c>
      <c r="E40" s="317" t="s">
        <v>1477</v>
      </c>
      <c r="F40" s="317" t="s">
        <v>2360</v>
      </c>
      <c r="G40" s="320">
        <v>43717</v>
      </c>
      <c r="H40" s="321">
        <f t="shared" si="0"/>
        <v>6</v>
      </c>
      <c r="I40" s="320" t="s">
        <v>1156</v>
      </c>
      <c r="J40" s="317" t="s">
        <v>15</v>
      </c>
      <c r="K40" s="317" t="s">
        <v>15</v>
      </c>
      <c r="L40" s="317" t="s">
        <v>27</v>
      </c>
      <c r="M40" s="317" t="s">
        <v>27</v>
      </c>
      <c r="N40" s="317" t="s">
        <v>15</v>
      </c>
    </row>
    <row r="41" spans="1:14">
      <c r="A41" s="317" t="s">
        <v>1474</v>
      </c>
      <c r="B41" s="317">
        <v>1</v>
      </c>
      <c r="C41" s="317" t="s">
        <v>1475</v>
      </c>
      <c r="D41" s="317" t="s">
        <v>1476</v>
      </c>
      <c r="E41" s="317" t="s">
        <v>2962</v>
      </c>
      <c r="F41" s="317" t="s">
        <v>2875</v>
      </c>
      <c r="G41" s="320">
        <v>43717</v>
      </c>
      <c r="H41" s="321">
        <f t="shared" si="0"/>
        <v>6</v>
      </c>
      <c r="I41" s="320" t="s">
        <v>1156</v>
      </c>
      <c r="J41" s="317" t="s">
        <v>15</v>
      </c>
      <c r="K41" s="317" t="s">
        <v>15</v>
      </c>
      <c r="L41" s="317" t="s">
        <v>27</v>
      </c>
      <c r="M41" s="317" t="s">
        <v>27</v>
      </c>
      <c r="N41" s="317" t="s">
        <v>15</v>
      </c>
    </row>
    <row r="42" spans="1:14">
      <c r="A42" s="317" t="s">
        <v>1474</v>
      </c>
      <c r="B42" s="317">
        <v>1</v>
      </c>
      <c r="C42" s="317" t="s">
        <v>1475</v>
      </c>
      <c r="D42" s="317" t="s">
        <v>1476</v>
      </c>
      <c r="E42" s="317" t="s">
        <v>1478</v>
      </c>
      <c r="F42" s="317" t="s">
        <v>2361</v>
      </c>
      <c r="G42" s="320">
        <v>43717</v>
      </c>
      <c r="H42" s="321">
        <f t="shared" si="0"/>
        <v>6</v>
      </c>
      <c r="I42" s="320" t="s">
        <v>1156</v>
      </c>
      <c r="J42" s="317" t="s">
        <v>15</v>
      </c>
      <c r="K42" s="317" t="s">
        <v>710</v>
      </c>
      <c r="L42" s="317" t="s">
        <v>27</v>
      </c>
      <c r="M42" s="317" t="s">
        <v>27</v>
      </c>
      <c r="N42" s="317" t="s">
        <v>15</v>
      </c>
    </row>
    <row r="43" spans="1:14">
      <c r="A43" s="317" t="s">
        <v>1474</v>
      </c>
      <c r="B43" s="317">
        <v>1</v>
      </c>
      <c r="C43" s="317" t="s">
        <v>1475</v>
      </c>
      <c r="D43" s="317" t="s">
        <v>1476</v>
      </c>
      <c r="E43" s="317" t="s">
        <v>1479</v>
      </c>
      <c r="F43" s="317" t="s">
        <v>2362</v>
      </c>
      <c r="G43" s="320">
        <v>43717</v>
      </c>
      <c r="H43" s="321">
        <f t="shared" si="0"/>
        <v>6</v>
      </c>
      <c r="I43" s="320" t="s">
        <v>1156</v>
      </c>
      <c r="J43" s="317" t="s">
        <v>15</v>
      </c>
      <c r="K43" s="317" t="s">
        <v>710</v>
      </c>
      <c r="L43" s="317" t="s">
        <v>27</v>
      </c>
      <c r="M43" s="317" t="s">
        <v>27</v>
      </c>
      <c r="N43" s="317" t="s">
        <v>15</v>
      </c>
    </row>
    <row r="44" spans="1:14">
      <c r="A44" s="280" t="s">
        <v>1474</v>
      </c>
      <c r="B44" s="280">
        <v>1</v>
      </c>
      <c r="C44" s="280" t="s">
        <v>1449</v>
      </c>
      <c r="D44" s="280" t="s">
        <v>2330</v>
      </c>
      <c r="E44" s="280"/>
      <c r="F44" s="284" t="s">
        <v>2798</v>
      </c>
      <c r="G44" s="281">
        <v>45743</v>
      </c>
      <c r="H44" s="282">
        <f t="shared" si="0"/>
        <v>0</v>
      </c>
      <c r="I44" s="281" t="s">
        <v>2335</v>
      </c>
      <c r="J44" s="280" t="s">
        <v>15</v>
      </c>
      <c r="K44" s="280" t="s">
        <v>1823</v>
      </c>
      <c r="L44" s="280" t="s">
        <v>27</v>
      </c>
      <c r="M44" s="280" t="s">
        <v>27</v>
      </c>
      <c r="N44" s="280"/>
    </row>
    <row r="45" spans="1:14">
      <c r="A45" s="279" t="s">
        <v>1480</v>
      </c>
      <c r="B45" s="280">
        <v>1</v>
      </c>
      <c r="C45" s="280" t="s">
        <v>1051</v>
      </c>
      <c r="D45" s="280" t="s">
        <v>1481</v>
      </c>
      <c r="E45" s="280" t="s">
        <v>1482</v>
      </c>
      <c r="F45" s="280" t="s">
        <v>2363</v>
      </c>
      <c r="G45" s="281">
        <v>44894</v>
      </c>
      <c r="H45" s="282">
        <f t="shared" si="0"/>
        <v>3</v>
      </c>
      <c r="I45" s="281" t="s">
        <v>2335</v>
      </c>
      <c r="J45" s="280" t="s">
        <v>15</v>
      </c>
      <c r="K45" s="280" t="s">
        <v>78</v>
      </c>
      <c r="L45" s="280" t="s">
        <v>27</v>
      </c>
      <c r="M45" s="280" t="s">
        <v>27</v>
      </c>
      <c r="N45" s="280" t="s">
        <v>15</v>
      </c>
    </row>
    <row r="46" spans="1:14">
      <c r="A46" s="276" t="s">
        <v>1480</v>
      </c>
      <c r="B46" s="262">
        <v>1</v>
      </c>
      <c r="C46" s="262" t="s">
        <v>1051</v>
      </c>
      <c r="D46" s="262" t="s">
        <v>1481</v>
      </c>
      <c r="E46" s="262" t="s">
        <v>1483</v>
      </c>
      <c r="F46" s="262" t="s">
        <v>2364</v>
      </c>
      <c r="G46" s="264">
        <v>44894</v>
      </c>
      <c r="H46" s="271">
        <f t="shared" si="0"/>
        <v>3</v>
      </c>
      <c r="I46" s="264" t="s">
        <v>2335</v>
      </c>
      <c r="J46" s="262" t="s">
        <v>15</v>
      </c>
      <c r="K46" s="262" t="s">
        <v>2890</v>
      </c>
      <c r="L46" s="262" t="s">
        <v>1453</v>
      </c>
      <c r="M46" s="262"/>
      <c r="N46" s="262" t="s">
        <v>15</v>
      </c>
    </row>
    <row r="47" spans="1:14">
      <c r="A47" s="276" t="s">
        <v>1480</v>
      </c>
      <c r="B47" s="262">
        <v>1</v>
      </c>
      <c r="C47" s="262" t="s">
        <v>1484</v>
      </c>
      <c r="D47" s="262" t="s">
        <v>1485</v>
      </c>
      <c r="E47" s="262" t="s">
        <v>35</v>
      </c>
      <c r="F47" s="262" t="s">
        <v>2799</v>
      </c>
      <c r="G47" s="264">
        <v>44711</v>
      </c>
      <c r="H47" s="271">
        <f t="shared" si="0"/>
        <v>3</v>
      </c>
      <c r="I47" s="264" t="s">
        <v>2335</v>
      </c>
      <c r="J47" s="262" t="s">
        <v>15</v>
      </c>
      <c r="K47" s="262" t="s">
        <v>1452</v>
      </c>
      <c r="L47" s="304" t="s">
        <v>2960</v>
      </c>
      <c r="M47" s="262"/>
      <c r="N47" s="262" t="s">
        <v>1453</v>
      </c>
    </row>
    <row r="48" spans="1:14">
      <c r="A48" s="279" t="s">
        <v>1480</v>
      </c>
      <c r="B48" s="280">
        <v>1</v>
      </c>
      <c r="C48" s="280" t="s">
        <v>1484</v>
      </c>
      <c r="D48" s="280" t="s">
        <v>1485</v>
      </c>
      <c r="E48" s="280" t="s">
        <v>35</v>
      </c>
      <c r="F48" s="280" t="s">
        <v>2800</v>
      </c>
      <c r="G48" s="281">
        <v>44711</v>
      </c>
      <c r="H48" s="282">
        <f t="shared" si="0"/>
        <v>3</v>
      </c>
      <c r="I48" s="281" t="s">
        <v>2335</v>
      </c>
      <c r="J48" s="280" t="s">
        <v>15</v>
      </c>
      <c r="K48" s="280" t="s">
        <v>2885</v>
      </c>
      <c r="L48" s="280" t="s">
        <v>27</v>
      </c>
      <c r="M48" s="280" t="s">
        <v>27</v>
      </c>
      <c r="N48" s="280" t="s">
        <v>15</v>
      </c>
    </row>
    <row r="49" spans="1:14">
      <c r="A49" s="279" t="s">
        <v>1480</v>
      </c>
      <c r="B49" s="280">
        <v>1</v>
      </c>
      <c r="C49" s="280" t="s">
        <v>1484</v>
      </c>
      <c r="D49" s="280" t="s">
        <v>1485</v>
      </c>
      <c r="E49" s="280" t="s">
        <v>35</v>
      </c>
      <c r="F49" s="280" t="s">
        <v>2801</v>
      </c>
      <c r="G49" s="281">
        <v>44711</v>
      </c>
      <c r="H49" s="282">
        <f t="shared" si="0"/>
        <v>3</v>
      </c>
      <c r="I49" s="281" t="s">
        <v>2335</v>
      </c>
      <c r="J49" s="280" t="s">
        <v>15</v>
      </c>
      <c r="K49" s="280" t="s">
        <v>78</v>
      </c>
      <c r="L49" s="280" t="s">
        <v>27</v>
      </c>
      <c r="M49" s="280" t="s">
        <v>27</v>
      </c>
      <c r="N49" s="280" t="s">
        <v>15</v>
      </c>
    </row>
    <row r="50" spans="1:14">
      <c r="A50" s="279" t="s">
        <v>1480</v>
      </c>
      <c r="B50" s="280">
        <v>1</v>
      </c>
      <c r="C50" s="280" t="s">
        <v>1051</v>
      </c>
      <c r="D50" s="280" t="s">
        <v>1481</v>
      </c>
      <c r="E50" s="280" t="s">
        <v>1486</v>
      </c>
      <c r="F50" s="280" t="s">
        <v>2365</v>
      </c>
      <c r="G50" s="281">
        <v>45401</v>
      </c>
      <c r="H50" s="282">
        <f t="shared" si="0"/>
        <v>1</v>
      </c>
      <c r="I50" s="281" t="s">
        <v>2335</v>
      </c>
      <c r="J50" s="280" t="s">
        <v>15</v>
      </c>
      <c r="K50" s="280" t="s">
        <v>102</v>
      </c>
      <c r="L50" s="280" t="s">
        <v>27</v>
      </c>
      <c r="M50" s="280"/>
      <c r="N50" s="280" t="s">
        <v>15</v>
      </c>
    </row>
    <row r="51" spans="1:14">
      <c r="A51" s="280" t="s">
        <v>1347</v>
      </c>
      <c r="B51" s="280">
        <v>1</v>
      </c>
      <c r="C51" s="280" t="s">
        <v>1282</v>
      </c>
      <c r="D51" s="280" t="s">
        <v>1487</v>
      </c>
      <c r="E51" s="280" t="s">
        <v>35</v>
      </c>
      <c r="F51" s="280" t="s">
        <v>2803</v>
      </c>
      <c r="G51" s="281">
        <v>44029</v>
      </c>
      <c r="H51" s="282">
        <f t="shared" si="0"/>
        <v>5</v>
      </c>
      <c r="I51" s="281" t="s">
        <v>2335</v>
      </c>
      <c r="J51" s="280" t="s">
        <v>15</v>
      </c>
      <c r="K51" s="280" t="s">
        <v>78</v>
      </c>
      <c r="L51" s="280" t="s">
        <v>27</v>
      </c>
      <c r="M51" s="280" t="s">
        <v>27</v>
      </c>
      <c r="N51" s="280" t="s">
        <v>15</v>
      </c>
    </row>
    <row r="52" spans="1:14">
      <c r="A52" s="280" t="s">
        <v>1347</v>
      </c>
      <c r="B52" s="280">
        <v>1</v>
      </c>
      <c r="C52" s="280" t="s">
        <v>1348</v>
      </c>
      <c r="D52" s="280" t="s">
        <v>1349</v>
      </c>
      <c r="E52" s="280" t="s">
        <v>35</v>
      </c>
      <c r="F52" s="280" t="s">
        <v>2802</v>
      </c>
      <c r="G52" s="281">
        <v>43717</v>
      </c>
      <c r="H52" s="282">
        <f t="shared" si="0"/>
        <v>6</v>
      </c>
      <c r="I52" s="281" t="s">
        <v>2335</v>
      </c>
      <c r="J52" s="280" t="s">
        <v>15</v>
      </c>
      <c r="K52" s="280" t="s">
        <v>2886</v>
      </c>
      <c r="L52" s="280" t="s">
        <v>27</v>
      </c>
      <c r="M52" s="280" t="s">
        <v>27</v>
      </c>
      <c r="N52" s="280" t="s">
        <v>15</v>
      </c>
    </row>
    <row r="53" spans="1:14">
      <c r="A53" s="280" t="s">
        <v>1347</v>
      </c>
      <c r="B53" s="280">
        <v>1</v>
      </c>
      <c r="C53" s="280" t="s">
        <v>1282</v>
      </c>
      <c r="D53" s="280" t="s">
        <v>1488</v>
      </c>
      <c r="E53" s="280" t="s">
        <v>35</v>
      </c>
      <c r="F53" s="280" t="s">
        <v>2804</v>
      </c>
      <c r="G53" s="281">
        <v>45483</v>
      </c>
      <c r="H53" s="282">
        <f t="shared" si="0"/>
        <v>1</v>
      </c>
      <c r="I53" s="281" t="s">
        <v>2335</v>
      </c>
      <c r="J53" s="280" t="s">
        <v>15</v>
      </c>
      <c r="K53" s="280" t="s">
        <v>2884</v>
      </c>
      <c r="L53" s="280" t="s">
        <v>27</v>
      </c>
      <c r="M53" s="280" t="s">
        <v>27</v>
      </c>
      <c r="N53" s="280" t="s">
        <v>15</v>
      </c>
    </row>
    <row r="54" spans="1:14">
      <c r="A54" s="280" t="s">
        <v>1489</v>
      </c>
      <c r="B54" s="280">
        <v>1</v>
      </c>
      <c r="C54" s="280" t="s">
        <v>1282</v>
      </c>
      <c r="D54" s="280" t="s">
        <v>1490</v>
      </c>
      <c r="E54" s="280" t="s">
        <v>35</v>
      </c>
      <c r="F54" s="284" t="s">
        <v>2806</v>
      </c>
      <c r="G54" s="281">
        <v>44845</v>
      </c>
      <c r="H54" s="282">
        <f t="shared" si="0"/>
        <v>3</v>
      </c>
      <c r="I54" s="281" t="s">
        <v>2335</v>
      </c>
      <c r="J54" s="280" t="s">
        <v>25</v>
      </c>
      <c r="K54" s="280" t="s">
        <v>2935</v>
      </c>
      <c r="L54" s="280" t="s">
        <v>27</v>
      </c>
      <c r="M54" s="280" t="s">
        <v>27</v>
      </c>
      <c r="N54" s="280" t="s">
        <v>15</v>
      </c>
    </row>
    <row r="55" spans="1:14">
      <c r="A55" s="280" t="s">
        <v>1489</v>
      </c>
      <c r="B55" s="280">
        <v>1</v>
      </c>
      <c r="C55" s="280" t="s">
        <v>1282</v>
      </c>
      <c r="D55" s="280" t="s">
        <v>1490</v>
      </c>
      <c r="E55" s="280" t="s">
        <v>35</v>
      </c>
      <c r="F55" s="284" t="s">
        <v>2807</v>
      </c>
      <c r="G55" s="281">
        <v>44845</v>
      </c>
      <c r="H55" s="282">
        <f t="shared" si="0"/>
        <v>3</v>
      </c>
      <c r="I55" s="281" t="s">
        <v>2335</v>
      </c>
      <c r="J55" s="280" t="s">
        <v>25</v>
      </c>
      <c r="K55" s="280" t="s">
        <v>2935</v>
      </c>
      <c r="L55" s="280" t="s">
        <v>27</v>
      </c>
      <c r="M55" s="280" t="s">
        <v>27</v>
      </c>
      <c r="N55" s="280" t="s">
        <v>15</v>
      </c>
    </row>
    <row r="56" spans="1:14">
      <c r="A56" s="280" t="s">
        <v>1489</v>
      </c>
      <c r="B56" s="280">
        <v>1</v>
      </c>
      <c r="C56" s="280" t="s">
        <v>1282</v>
      </c>
      <c r="D56" s="280" t="s">
        <v>1490</v>
      </c>
      <c r="E56" s="280" t="s">
        <v>35</v>
      </c>
      <c r="F56" s="284" t="s">
        <v>2808</v>
      </c>
      <c r="G56" s="281">
        <v>44845</v>
      </c>
      <c r="H56" s="282">
        <f t="shared" si="0"/>
        <v>3</v>
      </c>
      <c r="I56" s="281" t="s">
        <v>2335</v>
      </c>
      <c r="J56" s="280" t="s">
        <v>15</v>
      </c>
      <c r="K56" s="280"/>
      <c r="L56" s="280" t="s">
        <v>27</v>
      </c>
      <c r="M56" s="280" t="s">
        <v>27</v>
      </c>
      <c r="N56" s="280" t="s">
        <v>15</v>
      </c>
    </row>
    <row r="57" spans="1:14">
      <c r="A57" s="280" t="s">
        <v>1492</v>
      </c>
      <c r="B57" s="280">
        <v>1</v>
      </c>
      <c r="C57" s="279" t="s">
        <v>1493</v>
      </c>
      <c r="D57" s="279" t="s">
        <v>1494</v>
      </c>
      <c r="E57" s="285">
        <v>23032523705250</v>
      </c>
      <c r="F57" s="280" t="s">
        <v>2366</v>
      </c>
      <c r="G57" s="281">
        <v>45212</v>
      </c>
      <c r="H57" s="282">
        <f t="shared" si="0"/>
        <v>2</v>
      </c>
      <c r="I57" s="281" t="s">
        <v>2335</v>
      </c>
      <c r="J57" s="280" t="s">
        <v>2008</v>
      </c>
      <c r="K57" s="279" t="s">
        <v>1162</v>
      </c>
      <c r="L57" s="280" t="s">
        <v>27</v>
      </c>
      <c r="M57" s="280"/>
      <c r="N57" s="280" t="s">
        <v>15</v>
      </c>
    </row>
    <row r="58" spans="1:14">
      <c r="A58" s="317" t="s">
        <v>1492</v>
      </c>
      <c r="B58" s="317">
        <v>1</v>
      </c>
      <c r="C58" s="317" t="s">
        <v>1493</v>
      </c>
      <c r="D58" s="317" t="s">
        <v>1495</v>
      </c>
      <c r="E58" s="328">
        <v>18103010505492</v>
      </c>
      <c r="F58" s="317" t="s">
        <v>2367</v>
      </c>
      <c r="G58" s="320">
        <v>43728</v>
      </c>
      <c r="H58" s="321">
        <f t="shared" si="0"/>
        <v>6</v>
      </c>
      <c r="I58" s="320" t="s">
        <v>2336</v>
      </c>
      <c r="J58" s="317" t="s">
        <v>2008</v>
      </c>
      <c r="K58" s="317" t="s">
        <v>2891</v>
      </c>
      <c r="L58" s="317" t="s">
        <v>27</v>
      </c>
      <c r="M58" s="317"/>
      <c r="N58" s="317" t="s">
        <v>15</v>
      </c>
    </row>
    <row r="59" spans="1:14">
      <c r="A59" s="317" t="s">
        <v>1492</v>
      </c>
      <c r="B59" s="317">
        <v>1</v>
      </c>
      <c r="C59" s="317" t="s">
        <v>1493</v>
      </c>
      <c r="D59" s="317" t="s">
        <v>1495</v>
      </c>
      <c r="E59" s="328">
        <v>18103010506702</v>
      </c>
      <c r="F59" s="317" t="s">
        <v>2368</v>
      </c>
      <c r="G59" s="320">
        <v>43728</v>
      </c>
      <c r="H59" s="321">
        <f t="shared" si="0"/>
        <v>6</v>
      </c>
      <c r="I59" s="320" t="s">
        <v>2336</v>
      </c>
      <c r="J59" s="317" t="s">
        <v>2008</v>
      </c>
      <c r="K59" s="317" t="s">
        <v>1162</v>
      </c>
      <c r="L59" s="317" t="s">
        <v>27</v>
      </c>
      <c r="M59" s="317"/>
      <c r="N59" s="317" t="s">
        <v>15</v>
      </c>
    </row>
    <row r="60" spans="1:14">
      <c r="A60" s="317" t="s">
        <v>1492</v>
      </c>
      <c r="B60" s="317">
        <v>1</v>
      </c>
      <c r="C60" s="317" t="s">
        <v>1493</v>
      </c>
      <c r="D60" s="317" t="s">
        <v>1495</v>
      </c>
      <c r="E60" s="328">
        <v>18113010501578</v>
      </c>
      <c r="F60" s="317" t="s">
        <v>2369</v>
      </c>
      <c r="G60" s="320">
        <v>43728</v>
      </c>
      <c r="H60" s="321">
        <f t="shared" si="0"/>
        <v>6</v>
      </c>
      <c r="I60" s="320" t="s">
        <v>2336</v>
      </c>
      <c r="J60" s="317" t="s">
        <v>78</v>
      </c>
      <c r="K60" s="317" t="s">
        <v>2892</v>
      </c>
      <c r="L60" s="317" t="s">
        <v>27</v>
      </c>
      <c r="M60" s="317"/>
      <c r="N60" s="317" t="s">
        <v>15</v>
      </c>
    </row>
    <row r="61" spans="1:14">
      <c r="A61" s="317" t="s">
        <v>1492</v>
      </c>
      <c r="B61" s="317">
        <v>1</v>
      </c>
      <c r="C61" s="317" t="s">
        <v>1493</v>
      </c>
      <c r="D61" s="317" t="s">
        <v>1495</v>
      </c>
      <c r="E61" s="328">
        <v>18113010501548</v>
      </c>
      <c r="F61" s="317" t="s">
        <v>2370</v>
      </c>
      <c r="G61" s="320">
        <v>43728</v>
      </c>
      <c r="H61" s="321">
        <f t="shared" ref="H61:H126" si="1">ABS(YEAR(G61)-2025)</f>
        <v>6</v>
      </c>
      <c r="I61" s="320" t="s">
        <v>2336</v>
      </c>
      <c r="J61" s="317" t="s">
        <v>102</v>
      </c>
      <c r="K61" s="317" t="s">
        <v>2893</v>
      </c>
      <c r="L61" s="317" t="s">
        <v>27</v>
      </c>
      <c r="M61" s="317"/>
      <c r="N61" s="317" t="s">
        <v>15</v>
      </c>
    </row>
    <row r="62" spans="1:14">
      <c r="A62" s="317" t="s">
        <v>1492</v>
      </c>
      <c r="B62" s="317">
        <v>1</v>
      </c>
      <c r="C62" s="317" t="s">
        <v>1493</v>
      </c>
      <c r="D62" s="317" t="s">
        <v>1495</v>
      </c>
      <c r="E62" s="328">
        <v>18103010503821</v>
      </c>
      <c r="F62" s="317" t="s">
        <v>2372</v>
      </c>
      <c r="G62" s="320">
        <v>43728</v>
      </c>
      <c r="H62" s="321">
        <f t="shared" si="1"/>
        <v>6</v>
      </c>
      <c r="I62" s="320" t="s">
        <v>2336</v>
      </c>
      <c r="J62" s="317" t="s">
        <v>15</v>
      </c>
      <c r="K62" s="317" t="s">
        <v>2944</v>
      </c>
      <c r="L62" s="317" t="s">
        <v>27</v>
      </c>
      <c r="M62" s="317" t="s">
        <v>27</v>
      </c>
      <c r="N62" s="317" t="s">
        <v>15</v>
      </c>
    </row>
    <row r="63" spans="1:14">
      <c r="A63" s="317" t="s">
        <v>1492</v>
      </c>
      <c r="B63" s="317">
        <v>1</v>
      </c>
      <c r="C63" s="317" t="s">
        <v>1493</v>
      </c>
      <c r="D63" s="317" t="s">
        <v>1495</v>
      </c>
      <c r="E63" s="328">
        <v>18103010505483</v>
      </c>
      <c r="F63" s="317" t="s">
        <v>2371</v>
      </c>
      <c r="G63" s="320">
        <v>43728</v>
      </c>
      <c r="H63" s="321">
        <f t="shared" si="1"/>
        <v>6</v>
      </c>
      <c r="I63" s="320" t="s">
        <v>2336</v>
      </c>
      <c r="J63" s="317" t="s">
        <v>15</v>
      </c>
      <c r="K63" s="317" t="s">
        <v>2944</v>
      </c>
      <c r="L63" s="317" t="s">
        <v>27</v>
      </c>
      <c r="M63" s="317" t="s">
        <v>27</v>
      </c>
      <c r="N63" s="317" t="s">
        <v>15</v>
      </c>
    </row>
    <row r="64" spans="1:14">
      <c r="A64" s="317" t="s">
        <v>1492</v>
      </c>
      <c r="B64" s="317">
        <v>1</v>
      </c>
      <c r="C64" s="317" t="s">
        <v>1493</v>
      </c>
      <c r="D64" s="317" t="s">
        <v>1495</v>
      </c>
      <c r="E64" s="328">
        <v>18103010503883</v>
      </c>
      <c r="F64" s="317" t="s">
        <v>2373</v>
      </c>
      <c r="G64" s="320">
        <v>43728</v>
      </c>
      <c r="H64" s="321">
        <f t="shared" si="1"/>
        <v>6</v>
      </c>
      <c r="I64" s="320" t="s">
        <v>2336</v>
      </c>
      <c r="J64" s="317" t="s">
        <v>102</v>
      </c>
      <c r="K64" s="317" t="s">
        <v>2894</v>
      </c>
      <c r="L64" s="317" t="s">
        <v>27</v>
      </c>
      <c r="M64" s="317"/>
      <c r="N64" s="317" t="s">
        <v>15</v>
      </c>
    </row>
    <row r="65" spans="1:14">
      <c r="A65" s="317" t="s">
        <v>1492</v>
      </c>
      <c r="B65" s="317">
        <v>1</v>
      </c>
      <c r="C65" s="317" t="s">
        <v>1493</v>
      </c>
      <c r="D65" s="317" t="s">
        <v>1495</v>
      </c>
      <c r="E65" s="328">
        <v>18113010501593</v>
      </c>
      <c r="F65" s="317" t="s">
        <v>2374</v>
      </c>
      <c r="G65" s="320">
        <v>43728</v>
      </c>
      <c r="H65" s="321">
        <f t="shared" si="1"/>
        <v>6</v>
      </c>
      <c r="I65" s="320" t="s">
        <v>2336</v>
      </c>
      <c r="J65" s="317" t="s">
        <v>2008</v>
      </c>
      <c r="K65" s="317" t="s">
        <v>1162</v>
      </c>
      <c r="L65" s="317" t="s">
        <v>27</v>
      </c>
      <c r="M65" s="317"/>
      <c r="N65" s="317" t="s">
        <v>15</v>
      </c>
    </row>
    <row r="66" spans="1:14">
      <c r="A66" s="317" t="s">
        <v>1492</v>
      </c>
      <c r="B66" s="317">
        <v>1</v>
      </c>
      <c r="C66" s="317" t="s">
        <v>1493</v>
      </c>
      <c r="D66" s="317" t="s">
        <v>1495</v>
      </c>
      <c r="E66" s="328">
        <v>18113010501528</v>
      </c>
      <c r="F66" s="317" t="s">
        <v>2375</v>
      </c>
      <c r="G66" s="320">
        <v>43728</v>
      </c>
      <c r="H66" s="321">
        <f t="shared" si="1"/>
        <v>6</v>
      </c>
      <c r="I66" s="320" t="s">
        <v>2336</v>
      </c>
      <c r="J66" s="317" t="s">
        <v>15</v>
      </c>
      <c r="K66" s="317" t="s">
        <v>2943</v>
      </c>
      <c r="L66" s="317" t="s">
        <v>27</v>
      </c>
      <c r="M66" s="317" t="s">
        <v>27</v>
      </c>
      <c r="N66" s="317" t="s">
        <v>15</v>
      </c>
    </row>
    <row r="67" spans="1:14">
      <c r="A67" s="262" t="s">
        <v>1492</v>
      </c>
      <c r="B67" s="262">
        <v>1</v>
      </c>
      <c r="C67" s="262" t="s">
        <v>1496</v>
      </c>
      <c r="D67" s="262" t="s">
        <v>1497</v>
      </c>
      <c r="E67" s="262" t="s">
        <v>15</v>
      </c>
      <c r="F67" s="262" t="s">
        <v>2876</v>
      </c>
      <c r="G67" s="264">
        <v>44097</v>
      </c>
      <c r="H67" s="271">
        <f t="shared" si="1"/>
        <v>5</v>
      </c>
      <c r="I67" s="264" t="s">
        <v>2335</v>
      </c>
      <c r="J67" s="262" t="s">
        <v>25</v>
      </c>
      <c r="K67" s="262" t="s">
        <v>2935</v>
      </c>
      <c r="L67" s="262" t="s">
        <v>1453</v>
      </c>
      <c r="M67" s="262" t="s">
        <v>2936</v>
      </c>
      <c r="N67" s="262" t="s">
        <v>2938</v>
      </c>
    </row>
    <row r="68" spans="1:14">
      <c r="A68" s="280" t="s">
        <v>1492</v>
      </c>
      <c r="B68" s="280">
        <v>1</v>
      </c>
      <c r="C68" s="280" t="s">
        <v>1496</v>
      </c>
      <c r="D68" s="280" t="s">
        <v>1497</v>
      </c>
      <c r="E68" s="280" t="s">
        <v>1499</v>
      </c>
      <c r="F68" s="280" t="s">
        <v>2376</v>
      </c>
      <c r="G68" s="281">
        <v>44097</v>
      </c>
      <c r="H68" s="282">
        <f t="shared" si="1"/>
        <v>5</v>
      </c>
      <c r="I68" s="281" t="s">
        <v>2335</v>
      </c>
      <c r="J68" s="280" t="s">
        <v>25</v>
      </c>
      <c r="K68" s="280" t="s">
        <v>2935</v>
      </c>
      <c r="L68" s="280" t="s">
        <v>27</v>
      </c>
      <c r="M68" s="280" t="s">
        <v>27</v>
      </c>
      <c r="N68" s="280" t="s">
        <v>15</v>
      </c>
    </row>
    <row r="69" spans="1:14">
      <c r="A69" s="280" t="s">
        <v>1492</v>
      </c>
      <c r="B69" s="280">
        <v>1</v>
      </c>
      <c r="C69" s="280" t="s">
        <v>1496</v>
      </c>
      <c r="D69" s="280" t="s">
        <v>1497</v>
      </c>
      <c r="E69" s="280" t="s">
        <v>1500</v>
      </c>
      <c r="F69" s="280" t="s">
        <v>2377</v>
      </c>
      <c r="G69" s="281">
        <v>44097</v>
      </c>
      <c r="H69" s="282">
        <f t="shared" si="1"/>
        <v>5</v>
      </c>
      <c r="I69" s="281" t="s">
        <v>2335</v>
      </c>
      <c r="J69" s="280" t="s">
        <v>102</v>
      </c>
      <c r="K69" s="280" t="s">
        <v>2937</v>
      </c>
      <c r="L69" s="280" t="s">
        <v>27</v>
      </c>
      <c r="M69" s="280" t="s">
        <v>27</v>
      </c>
      <c r="N69" s="280" t="s">
        <v>15</v>
      </c>
    </row>
    <row r="70" spans="1:14">
      <c r="A70" s="280" t="s">
        <v>1492</v>
      </c>
      <c r="B70" s="280">
        <v>1</v>
      </c>
      <c r="C70" s="280" t="s">
        <v>1496</v>
      </c>
      <c r="D70" s="280" t="s">
        <v>1497</v>
      </c>
      <c r="E70" s="280" t="s">
        <v>1501</v>
      </c>
      <c r="F70" s="280" t="s">
        <v>2378</v>
      </c>
      <c r="G70" s="281">
        <v>44097</v>
      </c>
      <c r="H70" s="282">
        <f t="shared" si="1"/>
        <v>5</v>
      </c>
      <c r="I70" s="281" t="s">
        <v>2335</v>
      </c>
      <c r="J70" s="280" t="s">
        <v>102</v>
      </c>
      <c r="K70" s="280" t="s">
        <v>2895</v>
      </c>
      <c r="L70" s="280" t="s">
        <v>27</v>
      </c>
      <c r="M70" s="280" t="s">
        <v>27</v>
      </c>
      <c r="N70" s="280" t="s">
        <v>15</v>
      </c>
    </row>
    <row r="71" spans="1:14">
      <c r="A71" s="280" t="s">
        <v>1492</v>
      </c>
      <c r="B71" s="280">
        <v>1</v>
      </c>
      <c r="C71" s="280" t="s">
        <v>1496</v>
      </c>
      <c r="D71" s="280" t="s">
        <v>1497</v>
      </c>
      <c r="E71" s="280" t="s">
        <v>1502</v>
      </c>
      <c r="F71" s="280" t="s">
        <v>2379</v>
      </c>
      <c r="G71" s="281">
        <v>44097</v>
      </c>
      <c r="H71" s="282">
        <f t="shared" si="1"/>
        <v>5</v>
      </c>
      <c r="I71" s="281" t="s">
        <v>2335</v>
      </c>
      <c r="J71" s="280" t="s">
        <v>102</v>
      </c>
      <c r="K71" s="280" t="s">
        <v>2896</v>
      </c>
      <c r="L71" s="280" t="s">
        <v>27</v>
      </c>
      <c r="M71" s="280" t="s">
        <v>27</v>
      </c>
      <c r="N71" s="280" t="s">
        <v>15</v>
      </c>
    </row>
    <row r="72" spans="1:14">
      <c r="A72" s="317" t="s">
        <v>1492</v>
      </c>
      <c r="B72" s="317">
        <v>1</v>
      </c>
      <c r="C72" s="317" t="s">
        <v>1493</v>
      </c>
      <c r="D72" s="317" t="s">
        <v>1495</v>
      </c>
      <c r="E72" s="328">
        <v>18103010506614</v>
      </c>
      <c r="F72" s="317" t="s">
        <v>2380</v>
      </c>
      <c r="G72" s="320">
        <v>43728</v>
      </c>
      <c r="H72" s="321">
        <f t="shared" si="1"/>
        <v>6</v>
      </c>
      <c r="I72" s="320" t="s">
        <v>2336</v>
      </c>
      <c r="J72" s="317" t="s">
        <v>102</v>
      </c>
      <c r="K72" s="317" t="s">
        <v>2897</v>
      </c>
      <c r="L72" s="317" t="s">
        <v>27</v>
      </c>
      <c r="M72" s="317" t="s">
        <v>27</v>
      </c>
      <c r="N72" s="317" t="s">
        <v>15</v>
      </c>
    </row>
    <row r="73" spans="1:14">
      <c r="A73" s="280" t="s">
        <v>1492</v>
      </c>
      <c r="B73" s="280">
        <v>1</v>
      </c>
      <c r="C73" s="280" t="s">
        <v>1496</v>
      </c>
      <c r="D73" s="280" t="s">
        <v>1497</v>
      </c>
      <c r="E73" s="280" t="s">
        <v>1503</v>
      </c>
      <c r="F73" s="280" t="s">
        <v>2381</v>
      </c>
      <c r="G73" s="281">
        <v>44097</v>
      </c>
      <c r="H73" s="282">
        <f t="shared" si="1"/>
        <v>5</v>
      </c>
      <c r="I73" s="281" t="s">
        <v>2335</v>
      </c>
      <c r="J73" s="280" t="s">
        <v>25</v>
      </c>
      <c r="K73" s="280" t="s">
        <v>2935</v>
      </c>
      <c r="L73" s="280" t="s">
        <v>27</v>
      </c>
      <c r="M73" s="280" t="s">
        <v>27</v>
      </c>
      <c r="N73" s="280" t="s">
        <v>15</v>
      </c>
    </row>
    <row r="74" spans="1:14">
      <c r="A74" s="280" t="s">
        <v>1492</v>
      </c>
      <c r="B74" s="280">
        <v>1</v>
      </c>
      <c r="C74" s="279" t="s">
        <v>1493</v>
      </c>
      <c r="D74" s="279" t="s">
        <v>1494</v>
      </c>
      <c r="E74" s="285">
        <v>23032523705241</v>
      </c>
      <c r="F74" s="280" t="s">
        <v>2382</v>
      </c>
      <c r="G74" s="281">
        <v>45212</v>
      </c>
      <c r="H74" s="282">
        <f t="shared" si="1"/>
        <v>2</v>
      </c>
      <c r="I74" s="281" t="s">
        <v>2335</v>
      </c>
      <c r="J74" s="280" t="s">
        <v>1823</v>
      </c>
      <c r="K74" s="280" t="s">
        <v>1823</v>
      </c>
      <c r="L74" s="280" t="s">
        <v>27</v>
      </c>
      <c r="M74" s="280" t="s">
        <v>27</v>
      </c>
      <c r="N74" s="280" t="s">
        <v>15</v>
      </c>
    </row>
    <row r="75" spans="1:14">
      <c r="A75" s="280" t="s">
        <v>1492</v>
      </c>
      <c r="B75" s="280">
        <v>1</v>
      </c>
      <c r="C75" s="279" t="s">
        <v>1493</v>
      </c>
      <c r="D75" s="279" t="s">
        <v>1494</v>
      </c>
      <c r="E75" s="285">
        <v>23032523705187</v>
      </c>
      <c r="F75" s="280" t="s">
        <v>2383</v>
      </c>
      <c r="G75" s="281">
        <v>45212</v>
      </c>
      <c r="H75" s="282">
        <f t="shared" si="1"/>
        <v>2</v>
      </c>
      <c r="I75" s="281" t="s">
        <v>2335</v>
      </c>
      <c r="J75" s="280" t="s">
        <v>25</v>
      </c>
      <c r="K75" s="279" t="s">
        <v>2935</v>
      </c>
      <c r="L75" s="280" t="s">
        <v>27</v>
      </c>
      <c r="M75" s="280" t="s">
        <v>27</v>
      </c>
      <c r="N75" s="280" t="s">
        <v>15</v>
      </c>
    </row>
    <row r="76" spans="1:14">
      <c r="A76" s="280" t="s">
        <v>1492</v>
      </c>
      <c r="B76" s="280">
        <v>1</v>
      </c>
      <c r="C76" s="279" t="s">
        <v>1493</v>
      </c>
      <c r="D76" s="279" t="s">
        <v>1494</v>
      </c>
      <c r="E76" s="285">
        <v>23072523704848</v>
      </c>
      <c r="F76" s="280" t="s">
        <v>2384</v>
      </c>
      <c r="G76" s="281">
        <v>45212</v>
      </c>
      <c r="H76" s="282">
        <f t="shared" si="1"/>
        <v>2</v>
      </c>
      <c r="I76" s="281" t="s">
        <v>2335</v>
      </c>
      <c r="J76" s="280" t="s">
        <v>15</v>
      </c>
      <c r="K76" s="279" t="s">
        <v>1162</v>
      </c>
      <c r="L76" s="280" t="s">
        <v>27</v>
      </c>
      <c r="M76" s="280" t="s">
        <v>27</v>
      </c>
      <c r="N76" s="280" t="s">
        <v>15</v>
      </c>
    </row>
    <row r="77" spans="1:14">
      <c r="A77" s="280" t="s">
        <v>1492</v>
      </c>
      <c r="B77" s="280">
        <v>1</v>
      </c>
      <c r="C77" s="279" t="s">
        <v>1493</v>
      </c>
      <c r="D77" s="280" t="s">
        <v>1495</v>
      </c>
      <c r="E77" s="285">
        <v>23151010562614</v>
      </c>
      <c r="F77" s="280" t="s">
        <v>2385</v>
      </c>
      <c r="G77" s="281">
        <v>45208</v>
      </c>
      <c r="H77" s="282">
        <f t="shared" si="1"/>
        <v>2</v>
      </c>
      <c r="I77" s="281" t="s">
        <v>2335</v>
      </c>
      <c r="J77" s="280" t="s">
        <v>25</v>
      </c>
      <c r="K77" s="280" t="s">
        <v>2898</v>
      </c>
      <c r="L77" s="280" t="s">
        <v>27</v>
      </c>
      <c r="M77" s="280" t="s">
        <v>27</v>
      </c>
      <c r="N77" s="280" t="s">
        <v>15</v>
      </c>
    </row>
    <row r="78" spans="1:14">
      <c r="A78" s="280" t="s">
        <v>1281</v>
      </c>
      <c r="B78" s="280">
        <v>1</v>
      </c>
      <c r="C78" s="280" t="s">
        <v>1504</v>
      </c>
      <c r="D78" s="280" t="s">
        <v>1505</v>
      </c>
      <c r="E78" s="280" t="s">
        <v>1506</v>
      </c>
      <c r="F78" s="280" t="s">
        <v>2386</v>
      </c>
      <c r="G78" s="281">
        <v>43957</v>
      </c>
      <c r="H78" s="282">
        <f t="shared" si="1"/>
        <v>5</v>
      </c>
      <c r="I78" s="281" t="s">
        <v>2335</v>
      </c>
      <c r="J78" s="280" t="s">
        <v>25</v>
      </c>
      <c r="K78" s="280" t="s">
        <v>1222</v>
      </c>
      <c r="L78" s="280" t="s">
        <v>27</v>
      </c>
      <c r="M78" s="280" t="s">
        <v>27</v>
      </c>
      <c r="N78" s="280" t="s">
        <v>15</v>
      </c>
    </row>
    <row r="79" spans="1:14">
      <c r="A79" s="280" t="s">
        <v>1281</v>
      </c>
      <c r="B79" s="280">
        <v>1</v>
      </c>
      <c r="C79" s="280" t="s">
        <v>1504</v>
      </c>
      <c r="D79" s="280" t="s">
        <v>1505</v>
      </c>
      <c r="E79" s="280" t="s">
        <v>1507</v>
      </c>
      <c r="F79" s="280" t="s">
        <v>2387</v>
      </c>
      <c r="G79" s="281">
        <v>43883</v>
      </c>
      <c r="H79" s="282">
        <f t="shared" si="1"/>
        <v>5</v>
      </c>
      <c r="I79" s="281" t="s">
        <v>2335</v>
      </c>
      <c r="J79" s="280" t="s">
        <v>25</v>
      </c>
      <c r="K79" s="280" t="s">
        <v>1222</v>
      </c>
      <c r="L79" s="280" t="s">
        <v>27</v>
      </c>
      <c r="M79" s="280" t="s">
        <v>27</v>
      </c>
      <c r="N79" s="280" t="s">
        <v>15</v>
      </c>
    </row>
    <row r="80" spans="1:14">
      <c r="A80" s="280" t="s">
        <v>1281</v>
      </c>
      <c r="B80" s="280">
        <v>1</v>
      </c>
      <c r="C80" s="280" t="s">
        <v>1504</v>
      </c>
      <c r="D80" s="280" t="s">
        <v>1505</v>
      </c>
      <c r="E80" s="280" t="s">
        <v>1508</v>
      </c>
      <c r="F80" s="280" t="s">
        <v>2388</v>
      </c>
      <c r="G80" s="281">
        <v>43883</v>
      </c>
      <c r="H80" s="282">
        <f t="shared" si="1"/>
        <v>5</v>
      </c>
      <c r="I80" s="281" t="s">
        <v>2335</v>
      </c>
      <c r="J80" s="280" t="s">
        <v>102</v>
      </c>
      <c r="K80" s="280" t="s">
        <v>2939</v>
      </c>
      <c r="L80" s="280" t="s">
        <v>27</v>
      </c>
      <c r="M80" s="280" t="s">
        <v>27</v>
      </c>
      <c r="N80" s="280" t="s">
        <v>15</v>
      </c>
    </row>
    <row r="81" spans="1:14">
      <c r="A81" s="280" t="s">
        <v>1281</v>
      </c>
      <c r="B81" s="280">
        <v>1</v>
      </c>
      <c r="C81" s="280" t="s">
        <v>1504</v>
      </c>
      <c r="D81" s="280" t="s">
        <v>1505</v>
      </c>
      <c r="E81" s="280" t="s">
        <v>1509</v>
      </c>
      <c r="F81" s="280" t="s">
        <v>2389</v>
      </c>
      <c r="G81" s="281">
        <v>43883</v>
      </c>
      <c r="H81" s="282">
        <f t="shared" si="1"/>
        <v>5</v>
      </c>
      <c r="I81" s="281" t="s">
        <v>2335</v>
      </c>
      <c r="J81" s="280" t="s">
        <v>102</v>
      </c>
      <c r="K81" s="280" t="s">
        <v>2937</v>
      </c>
      <c r="L81" s="280" t="s">
        <v>27</v>
      </c>
      <c r="M81" s="280" t="s">
        <v>27</v>
      </c>
      <c r="N81" s="280" t="s">
        <v>15</v>
      </c>
    </row>
    <row r="82" spans="1:14">
      <c r="A82" s="280" t="s">
        <v>1281</v>
      </c>
      <c r="B82" s="280">
        <v>1</v>
      </c>
      <c r="C82" s="280" t="s">
        <v>1504</v>
      </c>
      <c r="D82" s="280" t="s">
        <v>1505</v>
      </c>
      <c r="E82" s="280" t="s">
        <v>1510</v>
      </c>
      <c r="F82" s="280" t="s">
        <v>2390</v>
      </c>
      <c r="G82" s="281">
        <v>43883</v>
      </c>
      <c r="H82" s="282">
        <f t="shared" si="1"/>
        <v>5</v>
      </c>
      <c r="I82" s="281" t="s">
        <v>2335</v>
      </c>
      <c r="J82" s="280" t="s">
        <v>25</v>
      </c>
      <c r="K82" s="280" t="s">
        <v>1222</v>
      </c>
      <c r="L82" s="280" t="s">
        <v>27</v>
      </c>
      <c r="M82" s="280" t="s">
        <v>27</v>
      </c>
      <c r="N82" s="280" t="s">
        <v>15</v>
      </c>
    </row>
    <row r="83" spans="1:14">
      <c r="A83" s="280" t="s">
        <v>1281</v>
      </c>
      <c r="B83" s="280">
        <v>1</v>
      </c>
      <c r="C83" s="280" t="s">
        <v>1504</v>
      </c>
      <c r="D83" s="280" t="s">
        <v>1505</v>
      </c>
      <c r="E83" s="280" t="s">
        <v>1511</v>
      </c>
      <c r="F83" s="280" t="s">
        <v>2391</v>
      </c>
      <c r="G83" s="281">
        <v>43883</v>
      </c>
      <c r="H83" s="282">
        <f t="shared" si="1"/>
        <v>5</v>
      </c>
      <c r="I83" s="281" t="s">
        <v>2335</v>
      </c>
      <c r="J83" s="280" t="s">
        <v>25</v>
      </c>
      <c r="K83" s="280" t="s">
        <v>1222</v>
      </c>
      <c r="L83" s="280" t="s">
        <v>27</v>
      </c>
      <c r="M83" s="280" t="s">
        <v>27</v>
      </c>
      <c r="N83" s="280" t="s">
        <v>15</v>
      </c>
    </row>
    <row r="84" spans="1:14">
      <c r="A84" s="262" t="s">
        <v>1281</v>
      </c>
      <c r="B84" s="262">
        <v>1</v>
      </c>
      <c r="C84" s="262" t="s">
        <v>1504</v>
      </c>
      <c r="D84" s="262" t="s">
        <v>1505</v>
      </c>
      <c r="E84" s="262" t="s">
        <v>1512</v>
      </c>
      <c r="F84" s="262" t="s">
        <v>2392</v>
      </c>
      <c r="G84" s="264">
        <v>43957</v>
      </c>
      <c r="H84" s="271">
        <f t="shared" si="1"/>
        <v>5</v>
      </c>
      <c r="I84" s="264" t="s">
        <v>2335</v>
      </c>
      <c r="J84" s="262" t="s">
        <v>15</v>
      </c>
      <c r="K84" s="262" t="s">
        <v>1222</v>
      </c>
      <c r="L84" s="262" t="s">
        <v>1453</v>
      </c>
      <c r="M84" s="262" t="s">
        <v>2936</v>
      </c>
      <c r="N84" s="262" t="s">
        <v>2938</v>
      </c>
    </row>
    <row r="85" spans="1:14">
      <c r="A85" s="280" t="s">
        <v>1281</v>
      </c>
      <c r="B85" s="280">
        <v>1</v>
      </c>
      <c r="C85" s="280" t="s">
        <v>1504</v>
      </c>
      <c r="D85" s="280" t="s">
        <v>1505</v>
      </c>
      <c r="E85" s="280" t="s">
        <v>1513</v>
      </c>
      <c r="F85" s="280" t="s">
        <v>2393</v>
      </c>
      <c r="G85" s="281">
        <v>43883</v>
      </c>
      <c r="H85" s="282">
        <f t="shared" si="1"/>
        <v>5</v>
      </c>
      <c r="I85" s="281" t="s">
        <v>2335</v>
      </c>
      <c r="J85" s="280" t="s">
        <v>25</v>
      </c>
      <c r="K85" s="280" t="s">
        <v>1222</v>
      </c>
      <c r="L85" s="280" t="s">
        <v>27</v>
      </c>
      <c r="M85" s="280" t="s">
        <v>27</v>
      </c>
      <c r="N85" s="280" t="s">
        <v>15</v>
      </c>
    </row>
    <row r="86" spans="1:14">
      <c r="A86" s="280" t="s">
        <v>1281</v>
      </c>
      <c r="B86" s="280">
        <v>1</v>
      </c>
      <c r="C86" s="280" t="s">
        <v>1504</v>
      </c>
      <c r="D86" s="280" t="s">
        <v>1505</v>
      </c>
      <c r="E86" s="280" t="s">
        <v>1514</v>
      </c>
      <c r="F86" s="280" t="s">
        <v>2394</v>
      </c>
      <c r="G86" s="281">
        <v>43883</v>
      </c>
      <c r="H86" s="282">
        <f t="shared" si="1"/>
        <v>5</v>
      </c>
      <c r="I86" s="281" t="s">
        <v>2335</v>
      </c>
      <c r="J86" s="280" t="s">
        <v>25</v>
      </c>
      <c r="K86" s="280" t="s">
        <v>1222</v>
      </c>
      <c r="L86" s="280" t="s">
        <v>27</v>
      </c>
      <c r="M86" s="280" t="s">
        <v>27</v>
      </c>
      <c r="N86" s="280" t="s">
        <v>15</v>
      </c>
    </row>
    <row r="87" spans="1:14">
      <c r="A87" s="280" t="s">
        <v>1281</v>
      </c>
      <c r="B87" s="280">
        <v>1</v>
      </c>
      <c r="C87" s="280" t="s">
        <v>1504</v>
      </c>
      <c r="D87" s="280" t="s">
        <v>1505</v>
      </c>
      <c r="E87" s="280" t="s">
        <v>1515</v>
      </c>
      <c r="F87" s="280" t="s">
        <v>2395</v>
      </c>
      <c r="G87" s="281">
        <v>43883</v>
      </c>
      <c r="H87" s="282">
        <f t="shared" si="1"/>
        <v>5</v>
      </c>
      <c r="I87" s="281" t="s">
        <v>2335</v>
      </c>
      <c r="J87" s="280" t="s">
        <v>25</v>
      </c>
      <c r="K87" s="280" t="s">
        <v>1222</v>
      </c>
      <c r="L87" s="280" t="s">
        <v>27</v>
      </c>
      <c r="M87" s="280" t="s">
        <v>27</v>
      </c>
      <c r="N87" s="280" t="s">
        <v>15</v>
      </c>
    </row>
    <row r="88" spans="1:14">
      <c r="A88" s="280" t="s">
        <v>1281</v>
      </c>
      <c r="B88" s="280">
        <v>1</v>
      </c>
      <c r="C88" s="280" t="s">
        <v>1504</v>
      </c>
      <c r="D88" s="280" t="s">
        <v>1505</v>
      </c>
      <c r="E88" s="280" t="s">
        <v>1516</v>
      </c>
      <c r="F88" s="280" t="s">
        <v>2396</v>
      </c>
      <c r="G88" s="281">
        <v>43883</v>
      </c>
      <c r="H88" s="282">
        <f t="shared" si="1"/>
        <v>5</v>
      </c>
      <c r="I88" s="281" t="s">
        <v>2335</v>
      </c>
      <c r="J88" s="280" t="s">
        <v>102</v>
      </c>
      <c r="K88" s="280" t="s">
        <v>2940</v>
      </c>
      <c r="L88" s="280" t="s">
        <v>27</v>
      </c>
      <c r="M88" s="280" t="s">
        <v>27</v>
      </c>
      <c r="N88" s="280" t="s">
        <v>15</v>
      </c>
    </row>
    <row r="89" spans="1:14">
      <c r="A89" s="280" t="s">
        <v>1281</v>
      </c>
      <c r="B89" s="280">
        <v>1</v>
      </c>
      <c r="C89" s="280" t="s">
        <v>1504</v>
      </c>
      <c r="D89" s="280" t="s">
        <v>1505</v>
      </c>
      <c r="E89" s="280" t="s">
        <v>1517</v>
      </c>
      <c r="F89" s="280" t="s">
        <v>2397</v>
      </c>
      <c r="G89" s="281">
        <v>43883</v>
      </c>
      <c r="H89" s="282">
        <f t="shared" si="1"/>
        <v>5</v>
      </c>
      <c r="I89" s="281" t="s">
        <v>2335</v>
      </c>
      <c r="J89" s="280" t="s">
        <v>25</v>
      </c>
      <c r="K89" s="280" t="s">
        <v>1222</v>
      </c>
      <c r="L89" s="280" t="s">
        <v>27</v>
      </c>
      <c r="M89" s="280" t="s">
        <v>27</v>
      </c>
      <c r="N89" s="280" t="s">
        <v>15</v>
      </c>
    </row>
    <row r="90" spans="1:14">
      <c r="A90" s="280" t="s">
        <v>1518</v>
      </c>
      <c r="B90" s="280">
        <v>1</v>
      </c>
      <c r="C90" s="279" t="s">
        <v>1519</v>
      </c>
      <c r="D90" s="279" t="s">
        <v>1520</v>
      </c>
      <c r="E90" s="285" t="s">
        <v>1521</v>
      </c>
      <c r="F90" s="280" t="s">
        <v>2398</v>
      </c>
      <c r="G90" s="281">
        <v>45205</v>
      </c>
      <c r="H90" s="282">
        <f t="shared" si="1"/>
        <v>2</v>
      </c>
      <c r="I90" s="281" t="s">
        <v>2335</v>
      </c>
      <c r="J90" s="280" t="s">
        <v>25</v>
      </c>
      <c r="K90" s="280" t="s">
        <v>2935</v>
      </c>
      <c r="L90" s="280" t="s">
        <v>27</v>
      </c>
      <c r="M90" s="280" t="s">
        <v>27</v>
      </c>
      <c r="N90" s="280" t="s">
        <v>15</v>
      </c>
    </row>
    <row r="91" spans="1:14">
      <c r="A91" s="280" t="s">
        <v>1518</v>
      </c>
      <c r="B91" s="280">
        <v>1</v>
      </c>
      <c r="C91" s="279" t="s">
        <v>1519</v>
      </c>
      <c r="D91" s="279" t="s">
        <v>1520</v>
      </c>
      <c r="E91" s="285" t="s">
        <v>1522</v>
      </c>
      <c r="F91" s="280" t="s">
        <v>2399</v>
      </c>
      <c r="G91" s="281">
        <v>45205</v>
      </c>
      <c r="H91" s="282">
        <f t="shared" si="1"/>
        <v>2</v>
      </c>
      <c r="I91" s="281" t="s">
        <v>2335</v>
      </c>
      <c r="J91" s="280" t="s">
        <v>15</v>
      </c>
      <c r="K91" s="279" t="s">
        <v>2945</v>
      </c>
      <c r="L91" s="280" t="s">
        <v>27</v>
      </c>
      <c r="M91" s="280" t="s">
        <v>27</v>
      </c>
      <c r="N91" s="280" t="s">
        <v>15</v>
      </c>
    </row>
    <row r="92" spans="1:14">
      <c r="A92" s="280" t="s">
        <v>1518</v>
      </c>
      <c r="B92" s="280">
        <v>1</v>
      </c>
      <c r="C92" s="279" t="s">
        <v>1519</v>
      </c>
      <c r="D92" s="279" t="s">
        <v>1520</v>
      </c>
      <c r="E92" s="285" t="s">
        <v>1523</v>
      </c>
      <c r="F92" s="280" t="s">
        <v>2400</v>
      </c>
      <c r="G92" s="281">
        <v>45205</v>
      </c>
      <c r="H92" s="282">
        <f t="shared" si="1"/>
        <v>2</v>
      </c>
      <c r="I92" s="281" t="s">
        <v>2335</v>
      </c>
      <c r="J92" s="280" t="s">
        <v>25</v>
      </c>
      <c r="K92" s="280" t="s">
        <v>2941</v>
      </c>
      <c r="L92" s="280" t="s">
        <v>27</v>
      </c>
      <c r="M92" s="280" t="s">
        <v>27</v>
      </c>
      <c r="N92" s="280" t="s">
        <v>15</v>
      </c>
    </row>
    <row r="93" spans="1:14">
      <c r="A93" s="280" t="s">
        <v>1518</v>
      </c>
      <c r="B93" s="280">
        <v>1</v>
      </c>
      <c r="C93" s="279" t="s">
        <v>1519</v>
      </c>
      <c r="D93" s="279" t="s">
        <v>1520</v>
      </c>
      <c r="E93" s="285" t="s">
        <v>1524</v>
      </c>
      <c r="F93" s="280" t="s">
        <v>2401</v>
      </c>
      <c r="G93" s="281">
        <v>45205</v>
      </c>
      <c r="H93" s="282">
        <f t="shared" si="1"/>
        <v>2</v>
      </c>
      <c r="I93" s="281" t="s">
        <v>2335</v>
      </c>
      <c r="J93" s="280" t="s">
        <v>25</v>
      </c>
      <c r="K93" s="280" t="s">
        <v>2935</v>
      </c>
      <c r="L93" s="280" t="s">
        <v>27</v>
      </c>
      <c r="M93" s="280" t="s">
        <v>27</v>
      </c>
      <c r="N93" s="280" t="s">
        <v>15</v>
      </c>
    </row>
    <row r="94" spans="1:14">
      <c r="A94" s="280" t="s">
        <v>1518</v>
      </c>
      <c r="B94" s="280">
        <v>1</v>
      </c>
      <c r="C94" s="279" t="s">
        <v>1519</v>
      </c>
      <c r="D94" s="279" t="s">
        <v>1520</v>
      </c>
      <c r="E94" s="285" t="s">
        <v>1525</v>
      </c>
      <c r="F94" s="280" t="s">
        <v>2402</v>
      </c>
      <c r="G94" s="281">
        <v>45205</v>
      </c>
      <c r="H94" s="282">
        <f t="shared" si="1"/>
        <v>2</v>
      </c>
      <c r="I94" s="281" t="s">
        <v>2335</v>
      </c>
      <c r="J94" s="280" t="s">
        <v>25</v>
      </c>
      <c r="K94" s="280" t="s">
        <v>2941</v>
      </c>
      <c r="L94" s="280" t="s">
        <v>27</v>
      </c>
      <c r="M94" s="280" t="s">
        <v>27</v>
      </c>
      <c r="N94" s="280" t="s">
        <v>15</v>
      </c>
    </row>
    <row r="95" spans="1:14">
      <c r="A95" s="344" t="s">
        <v>1489</v>
      </c>
      <c r="B95" s="280">
        <v>1</v>
      </c>
      <c r="C95" s="280" t="s">
        <v>3022</v>
      </c>
      <c r="D95" s="280" t="s">
        <v>3023</v>
      </c>
      <c r="E95" s="280" t="s">
        <v>3024</v>
      </c>
      <c r="F95" s="280" t="s">
        <v>3020</v>
      </c>
      <c r="G95" s="290">
        <v>46163</v>
      </c>
      <c r="H95" s="280">
        <f t="shared" si="1"/>
        <v>1</v>
      </c>
      <c r="I95" s="280" t="s">
        <v>3011</v>
      </c>
      <c r="J95" s="280"/>
      <c r="K95" s="280"/>
      <c r="L95" s="280"/>
      <c r="M95" s="280"/>
      <c r="N95" s="280"/>
    </row>
    <row r="96" spans="1:14">
      <c r="A96" s="344" t="s">
        <v>1489</v>
      </c>
      <c r="B96" s="280">
        <v>1</v>
      </c>
      <c r="C96" s="280" t="s">
        <v>3022</v>
      </c>
      <c r="D96" s="280" t="s">
        <v>3023</v>
      </c>
      <c r="E96" s="280" t="s">
        <v>3025</v>
      </c>
      <c r="F96" s="280" t="s">
        <v>3021</v>
      </c>
      <c r="G96" s="290">
        <v>46163</v>
      </c>
      <c r="H96" s="280">
        <f t="shared" si="1"/>
        <v>1</v>
      </c>
      <c r="I96" s="280" t="s">
        <v>3011</v>
      </c>
      <c r="J96" s="280"/>
      <c r="K96" s="280"/>
      <c r="L96" s="280"/>
      <c r="M96" s="280"/>
      <c r="N96" s="280"/>
    </row>
    <row r="97" spans="1:14">
      <c r="A97" s="344" t="s">
        <v>1489</v>
      </c>
      <c r="B97" s="280">
        <v>1</v>
      </c>
      <c r="C97" s="280" t="s">
        <v>3022</v>
      </c>
      <c r="D97" s="280" t="s">
        <v>3023</v>
      </c>
      <c r="E97" s="280" t="s">
        <v>3026</v>
      </c>
      <c r="F97" s="280" t="s">
        <v>3027</v>
      </c>
      <c r="G97" s="290">
        <v>46163</v>
      </c>
      <c r="H97" s="280">
        <f t="shared" si="1"/>
        <v>1</v>
      </c>
      <c r="I97" s="280" t="s">
        <v>3011</v>
      </c>
      <c r="J97" s="280"/>
      <c r="K97" s="280"/>
      <c r="L97" s="280"/>
      <c r="M97" s="280"/>
      <c r="N97" s="280"/>
    </row>
    <row r="98" spans="1:14">
      <c r="A98" s="27" t="s">
        <v>792</v>
      </c>
      <c r="B98" s="27">
        <v>1</v>
      </c>
      <c r="C98" s="27" t="s">
        <v>1527</v>
      </c>
      <c r="D98" s="27" t="s">
        <v>1528</v>
      </c>
      <c r="E98" s="44">
        <v>152272002511</v>
      </c>
      <c r="F98" s="27" t="s">
        <v>2403</v>
      </c>
      <c r="G98" s="35">
        <v>43717</v>
      </c>
      <c r="H98" s="269">
        <f t="shared" si="1"/>
        <v>6</v>
      </c>
      <c r="I98" s="35" t="s">
        <v>2335</v>
      </c>
      <c r="J98" s="27" t="s">
        <v>2286</v>
      </c>
      <c r="K98" s="43" t="s">
        <v>2182</v>
      </c>
      <c r="L98" s="27" t="s">
        <v>15</v>
      </c>
      <c r="M98" s="27"/>
      <c r="N98" s="27" t="s">
        <v>15</v>
      </c>
    </row>
    <row r="99" spans="1:14">
      <c r="A99" s="27" t="s">
        <v>792</v>
      </c>
      <c r="B99" s="27">
        <v>1</v>
      </c>
      <c r="C99" s="27" t="s">
        <v>1527</v>
      </c>
      <c r="D99" s="27" t="s">
        <v>1528</v>
      </c>
      <c r="E99" s="44">
        <v>152272004761</v>
      </c>
      <c r="F99" s="27" t="s">
        <v>2404</v>
      </c>
      <c r="G99" s="35">
        <v>43717</v>
      </c>
      <c r="H99" s="269">
        <f t="shared" si="1"/>
        <v>6</v>
      </c>
      <c r="I99" s="35" t="s">
        <v>2335</v>
      </c>
      <c r="J99" s="27" t="s">
        <v>2286</v>
      </c>
      <c r="K99" s="43" t="s">
        <v>2183</v>
      </c>
      <c r="L99" s="27" t="s">
        <v>15</v>
      </c>
      <c r="M99" s="27"/>
      <c r="N99" s="27" t="s">
        <v>15</v>
      </c>
    </row>
    <row r="100" spans="1:14">
      <c r="A100" s="27" t="s">
        <v>792</v>
      </c>
      <c r="B100" s="27">
        <v>1</v>
      </c>
      <c r="C100" s="27" t="s">
        <v>1527</v>
      </c>
      <c r="D100" s="27" t="s">
        <v>1528</v>
      </c>
      <c r="E100" s="44">
        <v>152272004747</v>
      </c>
      <c r="F100" s="27" t="s">
        <v>2405</v>
      </c>
      <c r="G100" s="35">
        <v>43717</v>
      </c>
      <c r="H100" s="269">
        <f t="shared" si="1"/>
        <v>6</v>
      </c>
      <c r="I100" s="35" t="s">
        <v>2335</v>
      </c>
      <c r="J100" s="27" t="s">
        <v>2286</v>
      </c>
      <c r="K100" s="43" t="s">
        <v>2182</v>
      </c>
      <c r="L100" s="27" t="s">
        <v>15</v>
      </c>
      <c r="M100" s="27"/>
      <c r="N100" s="27" t="s">
        <v>15</v>
      </c>
    </row>
    <row r="101" spans="1:14">
      <c r="A101" s="27" t="s">
        <v>792</v>
      </c>
      <c r="B101" s="27">
        <v>1</v>
      </c>
      <c r="C101" s="27" t="s">
        <v>1527</v>
      </c>
      <c r="D101" s="27" t="s">
        <v>1528</v>
      </c>
      <c r="E101" s="44">
        <v>152272004050</v>
      </c>
      <c r="F101" s="27" t="s">
        <v>2406</v>
      </c>
      <c r="G101" s="35">
        <v>43717</v>
      </c>
      <c r="H101" s="269">
        <f t="shared" si="1"/>
        <v>6</v>
      </c>
      <c r="I101" s="35" t="s">
        <v>2335</v>
      </c>
      <c r="J101" s="27" t="s">
        <v>2286</v>
      </c>
      <c r="K101" s="43" t="s">
        <v>2182</v>
      </c>
      <c r="L101" s="27" t="s">
        <v>15</v>
      </c>
      <c r="M101" s="27"/>
      <c r="N101" s="27" t="s">
        <v>15</v>
      </c>
    </row>
    <row r="102" spans="1:14">
      <c r="A102" s="27" t="s">
        <v>792</v>
      </c>
      <c r="B102" s="27">
        <v>1</v>
      </c>
      <c r="C102" s="27" t="s">
        <v>1527</v>
      </c>
      <c r="D102" s="27" t="s">
        <v>1528</v>
      </c>
      <c r="E102" s="44">
        <v>152272004735</v>
      </c>
      <c r="F102" s="27" t="s">
        <v>2407</v>
      </c>
      <c r="G102" s="35">
        <v>43717</v>
      </c>
      <c r="H102" s="269">
        <f t="shared" si="1"/>
        <v>6</v>
      </c>
      <c r="I102" s="35" t="s">
        <v>2335</v>
      </c>
      <c r="J102" s="27" t="s">
        <v>2286</v>
      </c>
      <c r="K102" s="43" t="s">
        <v>2287</v>
      </c>
      <c r="L102" s="27" t="s">
        <v>15</v>
      </c>
      <c r="M102" s="27"/>
      <c r="N102" s="27" t="s">
        <v>15</v>
      </c>
    </row>
    <row r="103" spans="1:14">
      <c r="A103" s="27" t="s">
        <v>792</v>
      </c>
      <c r="B103" s="27">
        <v>1</v>
      </c>
      <c r="C103" s="27" t="s">
        <v>1527</v>
      </c>
      <c r="D103" s="27" t="s">
        <v>1528</v>
      </c>
      <c r="E103" s="44">
        <v>152272004769</v>
      </c>
      <c r="F103" s="27" t="s">
        <v>2408</v>
      </c>
      <c r="G103" s="35">
        <v>43717</v>
      </c>
      <c r="H103" s="269">
        <f t="shared" si="1"/>
        <v>6</v>
      </c>
      <c r="I103" s="35" t="s">
        <v>2335</v>
      </c>
      <c r="J103" s="27" t="s">
        <v>2286</v>
      </c>
      <c r="K103" s="43" t="s">
        <v>2184</v>
      </c>
      <c r="L103" s="27" t="s">
        <v>15</v>
      </c>
      <c r="M103" s="27"/>
      <c r="N103" s="27" t="s">
        <v>15</v>
      </c>
    </row>
    <row r="104" spans="1:14">
      <c r="A104" s="262" t="s">
        <v>792</v>
      </c>
      <c r="B104" s="262">
        <v>1</v>
      </c>
      <c r="C104" s="262" t="s">
        <v>1527</v>
      </c>
      <c r="D104" s="262" t="s">
        <v>1528</v>
      </c>
      <c r="E104" s="342">
        <v>152272002526</v>
      </c>
      <c r="F104" s="262" t="s">
        <v>2409</v>
      </c>
      <c r="G104" s="264">
        <v>43717</v>
      </c>
      <c r="H104" s="271">
        <f t="shared" si="1"/>
        <v>6</v>
      </c>
      <c r="I104" s="264" t="s">
        <v>2335</v>
      </c>
      <c r="J104" s="262" t="s">
        <v>2286</v>
      </c>
      <c r="K104" s="330" t="s">
        <v>2182</v>
      </c>
      <c r="L104" s="262" t="s">
        <v>1453</v>
      </c>
      <c r="M104" s="262"/>
      <c r="N104" s="262" t="s">
        <v>15</v>
      </c>
    </row>
    <row r="105" spans="1:14">
      <c r="A105" s="27" t="s">
        <v>792</v>
      </c>
      <c r="B105" s="27">
        <v>1</v>
      </c>
      <c r="C105" s="27" t="s">
        <v>1527</v>
      </c>
      <c r="D105" s="27" t="s">
        <v>1528</v>
      </c>
      <c r="E105" s="44">
        <v>152272004743</v>
      </c>
      <c r="F105" s="27" t="s">
        <v>2410</v>
      </c>
      <c r="G105" s="35">
        <v>43717</v>
      </c>
      <c r="H105" s="269">
        <f t="shared" si="1"/>
        <v>6</v>
      </c>
      <c r="I105" s="35" t="s">
        <v>2335</v>
      </c>
      <c r="J105" s="27" t="s">
        <v>2286</v>
      </c>
      <c r="K105" s="43" t="s">
        <v>2182</v>
      </c>
      <c r="L105" s="27" t="s">
        <v>15</v>
      </c>
      <c r="M105" s="27"/>
      <c r="N105" s="27" t="s">
        <v>15</v>
      </c>
    </row>
    <row r="106" spans="1:14">
      <c r="A106" s="27" t="s">
        <v>792</v>
      </c>
      <c r="B106" s="27">
        <v>1</v>
      </c>
      <c r="C106" s="27" t="s">
        <v>1527</v>
      </c>
      <c r="D106" s="27" t="s">
        <v>1528</v>
      </c>
      <c r="E106" s="44">
        <v>152272004704</v>
      </c>
      <c r="F106" s="27" t="s">
        <v>2411</v>
      </c>
      <c r="G106" s="35">
        <v>43717</v>
      </c>
      <c r="H106" s="269">
        <f t="shared" si="1"/>
        <v>6</v>
      </c>
      <c r="I106" s="35" t="s">
        <v>2335</v>
      </c>
      <c r="J106" s="27" t="s">
        <v>2286</v>
      </c>
      <c r="K106" s="43" t="s">
        <v>2182</v>
      </c>
      <c r="L106" s="27" t="s">
        <v>15</v>
      </c>
      <c r="M106" s="27"/>
      <c r="N106" s="27" t="s">
        <v>15</v>
      </c>
    </row>
    <row r="107" spans="1:14">
      <c r="A107" s="27" t="s">
        <v>792</v>
      </c>
      <c r="B107" s="27">
        <v>1</v>
      </c>
      <c r="C107" s="27" t="s">
        <v>1527</v>
      </c>
      <c r="D107" s="27" t="s">
        <v>1528</v>
      </c>
      <c r="E107" s="44">
        <v>152272002508</v>
      </c>
      <c r="F107" s="27" t="s">
        <v>2412</v>
      </c>
      <c r="G107" s="35">
        <v>43717</v>
      </c>
      <c r="H107" s="269">
        <f t="shared" si="1"/>
        <v>6</v>
      </c>
      <c r="I107" s="35" t="s">
        <v>2335</v>
      </c>
      <c r="J107" s="27" t="s">
        <v>2286</v>
      </c>
      <c r="K107" s="43" t="s">
        <v>2182</v>
      </c>
      <c r="L107" s="27" t="s">
        <v>15</v>
      </c>
      <c r="M107" s="27"/>
      <c r="N107" s="27" t="s">
        <v>15</v>
      </c>
    </row>
    <row r="108" spans="1:14">
      <c r="A108" s="27" t="s">
        <v>792</v>
      </c>
      <c r="B108" s="27">
        <v>1</v>
      </c>
      <c r="C108" s="27" t="s">
        <v>1527</v>
      </c>
      <c r="D108" s="27" t="s">
        <v>1528</v>
      </c>
      <c r="E108" s="44">
        <v>152272004726</v>
      </c>
      <c r="F108" s="27" t="s">
        <v>2413</v>
      </c>
      <c r="G108" s="35">
        <v>43717</v>
      </c>
      <c r="H108" s="269">
        <f t="shared" si="1"/>
        <v>6</v>
      </c>
      <c r="I108" s="35" t="s">
        <v>2335</v>
      </c>
      <c r="J108" s="27" t="s">
        <v>2286</v>
      </c>
      <c r="K108" s="43" t="s">
        <v>2182</v>
      </c>
      <c r="L108" s="27" t="s">
        <v>15</v>
      </c>
      <c r="M108" s="27"/>
      <c r="N108" s="27" t="s">
        <v>15</v>
      </c>
    </row>
    <row r="109" spans="1:14">
      <c r="A109" s="27" t="s">
        <v>792</v>
      </c>
      <c r="B109" s="27">
        <v>1</v>
      </c>
      <c r="C109" s="27" t="s">
        <v>1527</v>
      </c>
      <c r="D109" s="27" t="s">
        <v>1528</v>
      </c>
      <c r="E109" s="44">
        <v>152272001301</v>
      </c>
      <c r="F109" s="27" t="s">
        <v>2414</v>
      </c>
      <c r="G109" s="35">
        <v>43717</v>
      </c>
      <c r="H109" s="269">
        <f t="shared" si="1"/>
        <v>6</v>
      </c>
      <c r="I109" s="35" t="s">
        <v>2335</v>
      </c>
      <c r="J109" s="27" t="s">
        <v>2286</v>
      </c>
      <c r="K109" s="43" t="s">
        <v>2182</v>
      </c>
      <c r="L109" s="27" t="s">
        <v>15</v>
      </c>
      <c r="M109" s="27"/>
      <c r="N109" s="27" t="s">
        <v>15</v>
      </c>
    </row>
    <row r="110" spans="1:14">
      <c r="A110" s="262" t="s">
        <v>792</v>
      </c>
      <c r="B110" s="262">
        <v>1</v>
      </c>
      <c r="C110" s="262" t="s">
        <v>1529</v>
      </c>
      <c r="D110" s="262" t="s">
        <v>1530</v>
      </c>
      <c r="E110" s="262" t="s">
        <v>1536</v>
      </c>
      <c r="F110" s="262" t="s">
        <v>2415</v>
      </c>
      <c r="G110" s="264">
        <v>43728</v>
      </c>
      <c r="H110" s="271">
        <f t="shared" si="1"/>
        <v>6</v>
      </c>
      <c r="I110" s="264" t="s">
        <v>2336</v>
      </c>
      <c r="J110" s="262" t="s">
        <v>2286</v>
      </c>
      <c r="K110" s="330" t="s">
        <v>2182</v>
      </c>
      <c r="L110" s="262" t="s">
        <v>15</v>
      </c>
      <c r="M110" s="262"/>
      <c r="N110" s="262" t="s">
        <v>2985</v>
      </c>
    </row>
    <row r="111" spans="1:14">
      <c r="A111" s="262" t="s">
        <v>792</v>
      </c>
      <c r="B111" s="262">
        <v>1</v>
      </c>
      <c r="C111" s="262" t="s">
        <v>1529</v>
      </c>
      <c r="D111" s="262" t="s">
        <v>1530</v>
      </c>
      <c r="E111" s="262" t="s">
        <v>1531</v>
      </c>
      <c r="F111" s="262" t="s">
        <v>2416</v>
      </c>
      <c r="G111" s="264">
        <v>43728</v>
      </c>
      <c r="H111" s="271">
        <f t="shared" si="1"/>
        <v>6</v>
      </c>
      <c r="I111" s="264" t="s">
        <v>2336</v>
      </c>
      <c r="J111" s="262" t="s">
        <v>2286</v>
      </c>
      <c r="K111" s="330" t="s">
        <v>2182</v>
      </c>
      <c r="L111" s="262" t="s">
        <v>15</v>
      </c>
      <c r="M111" s="262"/>
      <c r="N111" s="262" t="s">
        <v>2985</v>
      </c>
    </row>
    <row r="112" spans="1:14">
      <c r="A112" s="262" t="s">
        <v>792</v>
      </c>
      <c r="B112" s="262">
        <v>1</v>
      </c>
      <c r="C112" s="262" t="s">
        <v>1529</v>
      </c>
      <c r="D112" s="262" t="s">
        <v>1530</v>
      </c>
      <c r="E112" s="262" t="s">
        <v>1547</v>
      </c>
      <c r="F112" s="262" t="s">
        <v>2417</v>
      </c>
      <c r="G112" s="264">
        <v>43728</v>
      </c>
      <c r="H112" s="271">
        <f t="shared" si="1"/>
        <v>6</v>
      </c>
      <c r="I112" s="264" t="s">
        <v>2336</v>
      </c>
      <c r="J112" s="262" t="s">
        <v>2286</v>
      </c>
      <c r="K112" s="330" t="s">
        <v>2182</v>
      </c>
      <c r="L112" s="262" t="s">
        <v>15</v>
      </c>
      <c r="M112" s="262"/>
      <c r="N112" s="262" t="s">
        <v>2985</v>
      </c>
    </row>
    <row r="113" spans="1:14">
      <c r="A113" s="262" t="s">
        <v>792</v>
      </c>
      <c r="B113" s="262">
        <v>1</v>
      </c>
      <c r="C113" s="262" t="s">
        <v>1529</v>
      </c>
      <c r="D113" s="262" t="s">
        <v>1530</v>
      </c>
      <c r="E113" s="262" t="s">
        <v>1548</v>
      </c>
      <c r="F113" s="262" t="s">
        <v>2418</v>
      </c>
      <c r="G113" s="264">
        <v>43728</v>
      </c>
      <c r="H113" s="271">
        <f t="shared" si="1"/>
        <v>6</v>
      </c>
      <c r="I113" s="264" t="s">
        <v>2336</v>
      </c>
      <c r="J113" s="262" t="s">
        <v>2286</v>
      </c>
      <c r="K113" s="330" t="s">
        <v>2182</v>
      </c>
      <c r="L113" s="262" t="s">
        <v>15</v>
      </c>
      <c r="M113" s="262"/>
      <c r="N113" s="262" t="s">
        <v>2985</v>
      </c>
    </row>
    <row r="114" spans="1:14">
      <c r="A114" s="262" t="s">
        <v>792</v>
      </c>
      <c r="B114" s="262">
        <v>1</v>
      </c>
      <c r="C114" s="262" t="s">
        <v>1529</v>
      </c>
      <c r="D114" s="262" t="s">
        <v>1530</v>
      </c>
      <c r="E114" s="262" t="s">
        <v>1549</v>
      </c>
      <c r="F114" s="262" t="s">
        <v>2419</v>
      </c>
      <c r="G114" s="264">
        <v>43728</v>
      </c>
      <c r="H114" s="271">
        <f t="shared" si="1"/>
        <v>6</v>
      </c>
      <c r="I114" s="264" t="s">
        <v>2336</v>
      </c>
      <c r="J114" s="262" t="s">
        <v>2286</v>
      </c>
      <c r="K114" s="330" t="s">
        <v>2182</v>
      </c>
      <c r="L114" s="262" t="s">
        <v>15</v>
      </c>
      <c r="M114" s="262"/>
      <c r="N114" s="262" t="s">
        <v>2985</v>
      </c>
    </row>
    <row r="115" spans="1:14">
      <c r="A115" s="262" t="s">
        <v>792</v>
      </c>
      <c r="B115" s="262">
        <v>1</v>
      </c>
      <c r="C115" s="262" t="s">
        <v>1529</v>
      </c>
      <c r="D115" s="262" t="s">
        <v>1530</v>
      </c>
      <c r="E115" s="262" t="s">
        <v>1550</v>
      </c>
      <c r="F115" s="262" t="s">
        <v>2420</v>
      </c>
      <c r="G115" s="264">
        <v>43728</v>
      </c>
      <c r="H115" s="271">
        <f t="shared" si="1"/>
        <v>6</v>
      </c>
      <c r="I115" s="264" t="s">
        <v>2336</v>
      </c>
      <c r="J115" s="262" t="s">
        <v>2286</v>
      </c>
      <c r="K115" s="330" t="s">
        <v>2182</v>
      </c>
      <c r="L115" s="262" t="s">
        <v>15</v>
      </c>
      <c r="M115" s="262"/>
      <c r="N115" s="262" t="s">
        <v>2985</v>
      </c>
    </row>
    <row r="116" spans="1:14">
      <c r="A116" s="262" t="s">
        <v>792</v>
      </c>
      <c r="B116" s="262">
        <v>1</v>
      </c>
      <c r="C116" s="262" t="s">
        <v>1529</v>
      </c>
      <c r="D116" s="262" t="s">
        <v>1530</v>
      </c>
      <c r="E116" s="262" t="s">
        <v>1551</v>
      </c>
      <c r="F116" s="262" t="s">
        <v>2421</v>
      </c>
      <c r="G116" s="264">
        <v>43728</v>
      </c>
      <c r="H116" s="271">
        <f t="shared" si="1"/>
        <v>6</v>
      </c>
      <c r="I116" s="264" t="s">
        <v>2336</v>
      </c>
      <c r="J116" s="262" t="s">
        <v>2286</v>
      </c>
      <c r="K116" s="330" t="s">
        <v>2182</v>
      </c>
      <c r="L116" s="262" t="s">
        <v>15</v>
      </c>
      <c r="M116" s="262"/>
      <c r="N116" s="262" t="s">
        <v>2985</v>
      </c>
    </row>
    <row r="117" spans="1:14">
      <c r="A117" s="262" t="s">
        <v>792</v>
      </c>
      <c r="B117" s="262">
        <v>1</v>
      </c>
      <c r="C117" s="262" t="s">
        <v>1529</v>
      </c>
      <c r="D117" s="262" t="s">
        <v>1530</v>
      </c>
      <c r="E117" s="262" t="s">
        <v>1552</v>
      </c>
      <c r="F117" s="262" t="s">
        <v>2422</v>
      </c>
      <c r="G117" s="264">
        <v>43728</v>
      </c>
      <c r="H117" s="271">
        <f t="shared" si="1"/>
        <v>6</v>
      </c>
      <c r="I117" s="264" t="s">
        <v>2336</v>
      </c>
      <c r="J117" s="262" t="s">
        <v>2286</v>
      </c>
      <c r="K117" s="330" t="s">
        <v>2182</v>
      </c>
      <c r="L117" s="262" t="s">
        <v>15</v>
      </c>
      <c r="M117" s="262"/>
      <c r="N117" s="262" t="s">
        <v>2985</v>
      </c>
    </row>
    <row r="118" spans="1:14">
      <c r="A118" s="317" t="s">
        <v>792</v>
      </c>
      <c r="B118" s="317">
        <v>1</v>
      </c>
      <c r="C118" s="317" t="s">
        <v>1529</v>
      </c>
      <c r="D118" s="317" t="s">
        <v>1530</v>
      </c>
      <c r="E118" s="317" t="s">
        <v>1553</v>
      </c>
      <c r="F118" s="317" t="s">
        <v>2423</v>
      </c>
      <c r="G118" s="320">
        <v>43728</v>
      </c>
      <c r="H118" s="321">
        <f t="shared" si="1"/>
        <v>6</v>
      </c>
      <c r="I118" s="320" t="s">
        <v>2336</v>
      </c>
      <c r="J118" s="317" t="s">
        <v>2286</v>
      </c>
      <c r="K118" s="329" t="s">
        <v>2198</v>
      </c>
      <c r="L118" s="317" t="s">
        <v>15</v>
      </c>
      <c r="M118" s="317"/>
      <c r="N118" s="317" t="s">
        <v>15</v>
      </c>
    </row>
    <row r="119" spans="1:14">
      <c r="A119" s="262" t="s">
        <v>792</v>
      </c>
      <c r="B119" s="262">
        <v>1</v>
      </c>
      <c r="C119" s="262" t="s">
        <v>1529</v>
      </c>
      <c r="D119" s="262" t="s">
        <v>1530</v>
      </c>
      <c r="E119" s="262" t="s">
        <v>1572</v>
      </c>
      <c r="F119" s="262" t="s">
        <v>2424</v>
      </c>
      <c r="G119" s="264">
        <v>43728</v>
      </c>
      <c r="H119" s="271">
        <f t="shared" si="1"/>
        <v>6</v>
      </c>
      <c r="I119" s="264" t="s">
        <v>2336</v>
      </c>
      <c r="J119" s="262" t="s">
        <v>2286</v>
      </c>
      <c r="K119" s="330" t="s">
        <v>2182</v>
      </c>
      <c r="L119" s="262" t="s">
        <v>15</v>
      </c>
      <c r="M119" s="262"/>
      <c r="N119" s="262" t="s">
        <v>2985</v>
      </c>
    </row>
    <row r="120" spans="1:14">
      <c r="A120" s="27" t="s">
        <v>792</v>
      </c>
      <c r="B120" s="27">
        <v>1</v>
      </c>
      <c r="C120" s="27" t="s">
        <v>1532</v>
      </c>
      <c r="D120" s="27" t="s">
        <v>1533</v>
      </c>
      <c r="E120" s="27" t="s">
        <v>1534</v>
      </c>
      <c r="F120" s="27" t="s">
        <v>2425</v>
      </c>
      <c r="G120" s="35">
        <v>43717</v>
      </c>
      <c r="H120" s="269">
        <f t="shared" si="1"/>
        <v>6</v>
      </c>
      <c r="I120" s="35" t="s">
        <v>2335</v>
      </c>
      <c r="J120" s="27" t="s">
        <v>2286</v>
      </c>
      <c r="K120" s="43" t="s">
        <v>2185</v>
      </c>
      <c r="L120" s="27" t="s">
        <v>15</v>
      </c>
      <c r="M120" s="27"/>
      <c r="N120" s="27" t="s">
        <v>15</v>
      </c>
    </row>
    <row r="121" spans="1:14">
      <c r="A121" s="27" t="s">
        <v>792</v>
      </c>
      <c r="B121" s="27">
        <v>1</v>
      </c>
      <c r="C121" s="27" t="s">
        <v>1532</v>
      </c>
      <c r="D121" s="27" t="s">
        <v>1533</v>
      </c>
      <c r="E121" s="27" t="s">
        <v>1535</v>
      </c>
      <c r="F121" s="27" t="s">
        <v>2426</v>
      </c>
      <c r="G121" s="35">
        <v>43717</v>
      </c>
      <c r="H121" s="269">
        <f t="shared" si="1"/>
        <v>6</v>
      </c>
      <c r="I121" s="35" t="s">
        <v>2335</v>
      </c>
      <c r="J121" s="27" t="s">
        <v>2286</v>
      </c>
      <c r="K121" s="43" t="s">
        <v>2186</v>
      </c>
      <c r="L121" s="27" t="s">
        <v>15</v>
      </c>
      <c r="M121" s="27"/>
      <c r="N121" s="27" t="s">
        <v>15</v>
      </c>
    </row>
    <row r="122" spans="1:14">
      <c r="A122" s="27" t="s">
        <v>792</v>
      </c>
      <c r="B122" s="27">
        <v>1</v>
      </c>
      <c r="C122" s="27" t="s">
        <v>1532</v>
      </c>
      <c r="D122" s="27" t="s">
        <v>1533</v>
      </c>
      <c r="E122" s="27" t="s">
        <v>1537</v>
      </c>
      <c r="F122" s="27" t="s">
        <v>2427</v>
      </c>
      <c r="G122" s="35">
        <v>43717</v>
      </c>
      <c r="H122" s="269">
        <f t="shared" si="1"/>
        <v>6</v>
      </c>
      <c r="I122" s="35" t="s">
        <v>2335</v>
      </c>
      <c r="J122" s="27" t="s">
        <v>2286</v>
      </c>
      <c r="K122" s="43" t="s">
        <v>2187</v>
      </c>
      <c r="L122" s="27" t="s">
        <v>15</v>
      </c>
      <c r="M122" s="27"/>
      <c r="N122" s="27" t="s">
        <v>15</v>
      </c>
    </row>
    <row r="123" spans="1:14">
      <c r="A123" s="27" t="s">
        <v>792</v>
      </c>
      <c r="B123" s="27">
        <v>1</v>
      </c>
      <c r="C123" s="27" t="s">
        <v>1532</v>
      </c>
      <c r="D123" s="27" t="s">
        <v>1533</v>
      </c>
      <c r="E123" s="27" t="s">
        <v>1538</v>
      </c>
      <c r="F123" s="27" t="s">
        <v>2428</v>
      </c>
      <c r="G123" s="35">
        <v>43717</v>
      </c>
      <c r="H123" s="269">
        <f t="shared" si="1"/>
        <v>6</v>
      </c>
      <c r="I123" s="35" t="s">
        <v>2335</v>
      </c>
      <c r="J123" s="27" t="s">
        <v>2286</v>
      </c>
      <c r="K123" s="43" t="s">
        <v>2188</v>
      </c>
      <c r="L123" s="27" t="s">
        <v>15</v>
      </c>
      <c r="M123" s="27"/>
      <c r="N123" s="27" t="s">
        <v>15</v>
      </c>
    </row>
    <row r="124" spans="1:14">
      <c r="A124" s="27" t="s">
        <v>792</v>
      </c>
      <c r="B124" s="27">
        <v>1</v>
      </c>
      <c r="C124" s="27" t="s">
        <v>1532</v>
      </c>
      <c r="D124" s="27" t="s">
        <v>1533</v>
      </c>
      <c r="E124" s="27" t="s">
        <v>1539</v>
      </c>
      <c r="F124" s="27" t="s">
        <v>2429</v>
      </c>
      <c r="G124" s="35">
        <v>43717</v>
      </c>
      <c r="H124" s="269">
        <f t="shared" si="1"/>
        <v>6</v>
      </c>
      <c r="I124" s="35" t="s">
        <v>2335</v>
      </c>
      <c r="J124" s="27" t="s">
        <v>2286</v>
      </c>
      <c r="K124" s="43" t="s">
        <v>2189</v>
      </c>
      <c r="L124" s="27" t="s">
        <v>15</v>
      </c>
      <c r="M124" s="27"/>
      <c r="N124" s="27" t="s">
        <v>15</v>
      </c>
    </row>
    <row r="125" spans="1:14">
      <c r="A125" s="27" t="s">
        <v>792</v>
      </c>
      <c r="B125" s="27">
        <v>1</v>
      </c>
      <c r="C125" s="27" t="s">
        <v>1532</v>
      </c>
      <c r="D125" s="27" t="s">
        <v>1533</v>
      </c>
      <c r="E125" s="27" t="s">
        <v>1540</v>
      </c>
      <c r="F125" s="27" t="s">
        <v>2430</v>
      </c>
      <c r="G125" s="35">
        <v>43717</v>
      </c>
      <c r="H125" s="269">
        <f t="shared" si="1"/>
        <v>6</v>
      </c>
      <c r="I125" s="35" t="s">
        <v>2335</v>
      </c>
      <c r="J125" s="27" t="s">
        <v>2286</v>
      </c>
      <c r="K125" s="43" t="s">
        <v>2190</v>
      </c>
      <c r="L125" s="27" t="s">
        <v>15</v>
      </c>
      <c r="M125" s="27"/>
      <c r="N125" s="27" t="s">
        <v>15</v>
      </c>
    </row>
    <row r="126" spans="1:14">
      <c r="A126" s="27" t="s">
        <v>792</v>
      </c>
      <c r="B126" s="27">
        <v>1</v>
      </c>
      <c r="C126" s="27" t="s">
        <v>1532</v>
      </c>
      <c r="D126" s="27" t="s">
        <v>1533</v>
      </c>
      <c r="E126" s="27" t="s">
        <v>1541</v>
      </c>
      <c r="F126" s="27" t="s">
        <v>2431</v>
      </c>
      <c r="G126" s="35">
        <v>43717</v>
      </c>
      <c r="H126" s="269">
        <f t="shared" si="1"/>
        <v>6</v>
      </c>
      <c r="I126" s="35" t="s">
        <v>2335</v>
      </c>
      <c r="J126" s="27" t="s">
        <v>2286</v>
      </c>
      <c r="K126" s="43" t="s">
        <v>2191</v>
      </c>
      <c r="L126" s="27" t="s">
        <v>15</v>
      </c>
      <c r="M126" s="27"/>
      <c r="N126" s="27" t="s">
        <v>15</v>
      </c>
    </row>
    <row r="127" spans="1:14">
      <c r="A127" s="27" t="s">
        <v>792</v>
      </c>
      <c r="B127" s="27">
        <v>1</v>
      </c>
      <c r="C127" s="27" t="s">
        <v>1532</v>
      </c>
      <c r="D127" s="27" t="s">
        <v>1533</v>
      </c>
      <c r="E127" s="27" t="s">
        <v>1542</v>
      </c>
      <c r="F127" s="27" t="s">
        <v>2432</v>
      </c>
      <c r="G127" s="35">
        <v>43717</v>
      </c>
      <c r="H127" s="269">
        <f t="shared" ref="H127:H194" si="2">ABS(YEAR(G127)-2025)</f>
        <v>6</v>
      </c>
      <c r="I127" s="35" t="s">
        <v>2335</v>
      </c>
      <c r="J127" s="27" t="s">
        <v>2286</v>
      </c>
      <c r="K127" s="43" t="s">
        <v>2192</v>
      </c>
      <c r="L127" s="27" t="s">
        <v>15</v>
      </c>
      <c r="M127" s="27"/>
      <c r="N127" s="27" t="s">
        <v>15</v>
      </c>
    </row>
    <row r="128" spans="1:14">
      <c r="A128" s="27" t="s">
        <v>792</v>
      </c>
      <c r="B128" s="27">
        <v>1</v>
      </c>
      <c r="C128" s="27" t="s">
        <v>1532</v>
      </c>
      <c r="D128" s="27" t="s">
        <v>1533</v>
      </c>
      <c r="E128" s="27" t="s">
        <v>1543</v>
      </c>
      <c r="F128" s="27" t="s">
        <v>2433</v>
      </c>
      <c r="G128" s="35">
        <v>43717</v>
      </c>
      <c r="H128" s="269">
        <f t="shared" si="2"/>
        <v>6</v>
      </c>
      <c r="I128" s="35" t="s">
        <v>2335</v>
      </c>
      <c r="J128" s="27" t="s">
        <v>2286</v>
      </c>
      <c r="K128" s="43" t="s">
        <v>2193</v>
      </c>
      <c r="L128" s="27" t="s">
        <v>15</v>
      </c>
      <c r="M128" s="27"/>
      <c r="N128" s="27" t="s">
        <v>15</v>
      </c>
    </row>
    <row r="129" spans="1:14">
      <c r="A129" s="27" t="s">
        <v>792</v>
      </c>
      <c r="B129" s="27">
        <v>1</v>
      </c>
      <c r="C129" s="27" t="s">
        <v>1532</v>
      </c>
      <c r="D129" s="27" t="s">
        <v>1533</v>
      </c>
      <c r="E129" s="27" t="s">
        <v>1544</v>
      </c>
      <c r="F129" s="27" t="s">
        <v>2434</v>
      </c>
      <c r="G129" s="35">
        <v>43717</v>
      </c>
      <c r="H129" s="269">
        <f t="shared" si="2"/>
        <v>6</v>
      </c>
      <c r="I129" s="35" t="s">
        <v>2335</v>
      </c>
      <c r="J129" s="27" t="s">
        <v>2286</v>
      </c>
      <c r="K129" s="43" t="s">
        <v>2194</v>
      </c>
      <c r="L129" s="27" t="s">
        <v>15</v>
      </c>
      <c r="M129" s="27"/>
      <c r="N129" s="27" t="s">
        <v>15</v>
      </c>
    </row>
    <row r="130" spans="1:14">
      <c r="A130" s="27" t="s">
        <v>792</v>
      </c>
      <c r="B130" s="27">
        <v>1</v>
      </c>
      <c r="C130" s="27" t="s">
        <v>1532</v>
      </c>
      <c r="D130" s="27" t="s">
        <v>1533</v>
      </c>
      <c r="E130" s="27" t="s">
        <v>1545</v>
      </c>
      <c r="F130" s="27" t="s">
        <v>2435</v>
      </c>
      <c r="G130" s="35">
        <v>43717</v>
      </c>
      <c r="H130" s="269">
        <f t="shared" si="2"/>
        <v>6</v>
      </c>
      <c r="I130" s="35" t="s">
        <v>2335</v>
      </c>
      <c r="J130" s="27" t="s">
        <v>2286</v>
      </c>
      <c r="K130" s="43" t="s">
        <v>2196</v>
      </c>
      <c r="L130" s="27" t="s">
        <v>15</v>
      </c>
      <c r="M130" s="27"/>
      <c r="N130" s="27" t="s">
        <v>15</v>
      </c>
    </row>
    <row r="131" spans="1:14">
      <c r="A131" s="27" t="s">
        <v>792</v>
      </c>
      <c r="B131" s="27">
        <v>1</v>
      </c>
      <c r="C131" s="27" t="s">
        <v>1532</v>
      </c>
      <c r="D131" s="27" t="s">
        <v>1533</v>
      </c>
      <c r="E131" s="27" t="s">
        <v>1546</v>
      </c>
      <c r="F131" s="27" t="s">
        <v>2436</v>
      </c>
      <c r="G131" s="35">
        <v>43717</v>
      </c>
      <c r="H131" s="269">
        <f t="shared" si="2"/>
        <v>6</v>
      </c>
      <c r="I131" s="35" t="s">
        <v>2335</v>
      </c>
      <c r="J131" s="27" t="s">
        <v>2286</v>
      </c>
      <c r="K131" s="43" t="s">
        <v>2197</v>
      </c>
      <c r="L131" s="27" t="s">
        <v>15</v>
      </c>
      <c r="M131" s="27"/>
      <c r="N131" s="27" t="s">
        <v>15</v>
      </c>
    </row>
    <row r="132" spans="1:14">
      <c r="A132" s="27" t="s">
        <v>792</v>
      </c>
      <c r="B132" s="27">
        <v>1</v>
      </c>
      <c r="C132" s="27" t="s">
        <v>1532</v>
      </c>
      <c r="D132" s="27" t="s">
        <v>1533</v>
      </c>
      <c r="E132" s="27" t="s">
        <v>1554</v>
      </c>
      <c r="F132" s="27" t="s">
        <v>2437</v>
      </c>
      <c r="G132" s="35">
        <v>43717</v>
      </c>
      <c r="H132" s="269">
        <f t="shared" si="2"/>
        <v>6</v>
      </c>
      <c r="I132" s="35" t="s">
        <v>2335</v>
      </c>
      <c r="J132" s="27" t="s">
        <v>2286</v>
      </c>
      <c r="K132" s="43" t="s">
        <v>2199</v>
      </c>
      <c r="L132" s="27" t="s">
        <v>15</v>
      </c>
      <c r="M132" s="27"/>
      <c r="N132" s="27" t="s">
        <v>15</v>
      </c>
    </row>
    <row r="133" spans="1:14">
      <c r="A133" s="27" t="s">
        <v>792</v>
      </c>
      <c r="B133" s="27">
        <v>1</v>
      </c>
      <c r="C133" s="27" t="s">
        <v>1532</v>
      </c>
      <c r="D133" s="27" t="s">
        <v>1533</v>
      </c>
      <c r="E133" s="27" t="s">
        <v>1555</v>
      </c>
      <c r="F133" s="27" t="s">
        <v>2438</v>
      </c>
      <c r="G133" s="35">
        <v>43717</v>
      </c>
      <c r="H133" s="269">
        <f t="shared" si="2"/>
        <v>6</v>
      </c>
      <c r="I133" s="35" t="s">
        <v>2335</v>
      </c>
      <c r="J133" s="27" t="s">
        <v>2286</v>
      </c>
      <c r="K133" s="43" t="s">
        <v>2200</v>
      </c>
      <c r="L133" s="27" t="s">
        <v>15</v>
      </c>
      <c r="M133" s="27"/>
      <c r="N133" s="27" t="s">
        <v>15</v>
      </c>
    </row>
    <row r="134" spans="1:14">
      <c r="A134" s="27" t="s">
        <v>792</v>
      </c>
      <c r="B134" s="27">
        <v>1</v>
      </c>
      <c r="C134" s="27" t="s">
        <v>1532</v>
      </c>
      <c r="D134" s="27" t="s">
        <v>1533</v>
      </c>
      <c r="E134" s="27" t="s">
        <v>1556</v>
      </c>
      <c r="F134" s="27" t="s">
        <v>2439</v>
      </c>
      <c r="G134" s="35">
        <v>43717</v>
      </c>
      <c r="H134" s="269">
        <f t="shared" si="2"/>
        <v>6</v>
      </c>
      <c r="I134" s="35" t="s">
        <v>2335</v>
      </c>
      <c r="J134" s="27" t="s">
        <v>2286</v>
      </c>
      <c r="K134" s="43" t="s">
        <v>2201</v>
      </c>
      <c r="L134" s="27" t="s">
        <v>15</v>
      </c>
      <c r="M134" s="27"/>
      <c r="N134" s="27" t="s">
        <v>15</v>
      </c>
    </row>
    <row r="135" spans="1:14">
      <c r="A135" s="27" t="s">
        <v>792</v>
      </c>
      <c r="B135" s="27">
        <v>1</v>
      </c>
      <c r="C135" s="27" t="s">
        <v>1532</v>
      </c>
      <c r="D135" s="27" t="s">
        <v>1533</v>
      </c>
      <c r="E135" s="27" t="s">
        <v>1557</v>
      </c>
      <c r="F135" s="27" t="s">
        <v>2440</v>
      </c>
      <c r="G135" s="35">
        <v>43717</v>
      </c>
      <c r="H135" s="269">
        <f t="shared" si="2"/>
        <v>6</v>
      </c>
      <c r="I135" s="35" t="s">
        <v>2335</v>
      </c>
      <c r="J135" s="27" t="s">
        <v>2286</v>
      </c>
      <c r="K135" s="43" t="s">
        <v>2202</v>
      </c>
      <c r="L135" s="27" t="s">
        <v>15</v>
      </c>
      <c r="M135" s="27"/>
      <c r="N135" s="27" t="s">
        <v>15</v>
      </c>
    </row>
    <row r="136" spans="1:14">
      <c r="A136" s="27" t="s">
        <v>792</v>
      </c>
      <c r="B136" s="27">
        <v>1</v>
      </c>
      <c r="C136" s="27" t="s">
        <v>1532</v>
      </c>
      <c r="D136" s="27" t="s">
        <v>1533</v>
      </c>
      <c r="E136" s="27" t="s">
        <v>1558</v>
      </c>
      <c r="F136" s="27" t="s">
        <v>2441</v>
      </c>
      <c r="G136" s="35">
        <v>43717</v>
      </c>
      <c r="H136" s="269">
        <f t="shared" si="2"/>
        <v>6</v>
      </c>
      <c r="I136" s="35" t="s">
        <v>2335</v>
      </c>
      <c r="J136" s="27" t="s">
        <v>2286</v>
      </c>
      <c r="K136" s="43" t="s">
        <v>2203</v>
      </c>
      <c r="L136" s="27" t="s">
        <v>15</v>
      </c>
      <c r="M136" s="27"/>
      <c r="N136" s="27" t="s">
        <v>15</v>
      </c>
    </row>
    <row r="137" spans="1:14">
      <c r="A137" s="27" t="s">
        <v>792</v>
      </c>
      <c r="B137" s="27">
        <v>1</v>
      </c>
      <c r="C137" s="27" t="s">
        <v>1532</v>
      </c>
      <c r="D137" s="27" t="s">
        <v>1533</v>
      </c>
      <c r="E137" s="27" t="s">
        <v>1559</v>
      </c>
      <c r="F137" s="27" t="s">
        <v>2442</v>
      </c>
      <c r="G137" s="35">
        <v>43717</v>
      </c>
      <c r="H137" s="269">
        <f t="shared" si="2"/>
        <v>6</v>
      </c>
      <c r="I137" s="35" t="s">
        <v>2335</v>
      </c>
      <c r="J137" s="27" t="s">
        <v>2286</v>
      </c>
      <c r="K137" s="43" t="s">
        <v>2204</v>
      </c>
      <c r="L137" s="27" t="s">
        <v>15</v>
      </c>
      <c r="M137" s="27"/>
      <c r="N137" s="27" t="s">
        <v>15</v>
      </c>
    </row>
    <row r="138" spans="1:14">
      <c r="A138" s="27" t="s">
        <v>792</v>
      </c>
      <c r="B138" s="27">
        <v>1</v>
      </c>
      <c r="C138" s="27" t="s">
        <v>1532</v>
      </c>
      <c r="D138" s="27" t="s">
        <v>1533</v>
      </c>
      <c r="E138" s="27" t="s">
        <v>1560</v>
      </c>
      <c r="F138" s="27" t="s">
        <v>2443</v>
      </c>
      <c r="G138" s="35">
        <v>43717</v>
      </c>
      <c r="H138" s="269">
        <f t="shared" si="2"/>
        <v>6</v>
      </c>
      <c r="I138" s="35" t="s">
        <v>2335</v>
      </c>
      <c r="J138" s="27" t="s">
        <v>2286</v>
      </c>
      <c r="K138" s="43" t="s">
        <v>2205</v>
      </c>
      <c r="L138" s="27" t="s">
        <v>15</v>
      </c>
      <c r="M138" s="27"/>
      <c r="N138" s="27" t="s">
        <v>15</v>
      </c>
    </row>
    <row r="139" spans="1:14">
      <c r="A139" s="27" t="s">
        <v>792</v>
      </c>
      <c r="B139" s="27">
        <v>1</v>
      </c>
      <c r="C139" s="27" t="s">
        <v>1532</v>
      </c>
      <c r="D139" s="27" t="s">
        <v>1533</v>
      </c>
      <c r="E139" s="27" t="s">
        <v>1561</v>
      </c>
      <c r="F139" s="27" t="s">
        <v>2444</v>
      </c>
      <c r="G139" s="35">
        <v>43717</v>
      </c>
      <c r="H139" s="269">
        <f t="shared" si="2"/>
        <v>6</v>
      </c>
      <c r="I139" s="35" t="s">
        <v>2335</v>
      </c>
      <c r="J139" s="27" t="s">
        <v>2286</v>
      </c>
      <c r="K139" s="43" t="s">
        <v>2206</v>
      </c>
      <c r="L139" s="27" t="s">
        <v>15</v>
      </c>
      <c r="M139" s="27"/>
      <c r="N139" s="27" t="s">
        <v>15</v>
      </c>
    </row>
    <row r="140" spans="1:14">
      <c r="A140" s="27" t="s">
        <v>792</v>
      </c>
      <c r="B140" s="27">
        <v>1</v>
      </c>
      <c r="C140" s="27" t="s">
        <v>1532</v>
      </c>
      <c r="D140" s="27" t="s">
        <v>1533</v>
      </c>
      <c r="E140" s="27" t="s">
        <v>1562</v>
      </c>
      <c r="F140" s="27" t="s">
        <v>2445</v>
      </c>
      <c r="G140" s="35">
        <v>43717</v>
      </c>
      <c r="H140" s="269">
        <f t="shared" si="2"/>
        <v>6</v>
      </c>
      <c r="I140" s="35" t="s">
        <v>2335</v>
      </c>
      <c r="J140" s="27" t="s">
        <v>2286</v>
      </c>
      <c r="K140" s="43" t="s">
        <v>2207</v>
      </c>
      <c r="L140" s="27" t="s">
        <v>15</v>
      </c>
      <c r="M140" s="27"/>
      <c r="N140" s="27" t="s">
        <v>15</v>
      </c>
    </row>
    <row r="141" spans="1:14">
      <c r="A141" s="27" t="s">
        <v>792</v>
      </c>
      <c r="B141" s="27">
        <v>1</v>
      </c>
      <c r="C141" s="27" t="s">
        <v>1532</v>
      </c>
      <c r="D141" s="27" t="s">
        <v>1533</v>
      </c>
      <c r="E141" s="27" t="s">
        <v>1563</v>
      </c>
      <c r="F141" s="27" t="s">
        <v>2446</v>
      </c>
      <c r="G141" s="35">
        <v>43717</v>
      </c>
      <c r="H141" s="269">
        <f t="shared" si="2"/>
        <v>6</v>
      </c>
      <c r="I141" s="35" t="s">
        <v>2335</v>
      </c>
      <c r="J141" s="27" t="s">
        <v>2286</v>
      </c>
      <c r="K141" s="43" t="s">
        <v>2321</v>
      </c>
      <c r="L141" s="27" t="s">
        <v>15</v>
      </c>
      <c r="M141" s="27"/>
      <c r="N141" s="27" t="s">
        <v>15</v>
      </c>
    </row>
    <row r="142" spans="1:14">
      <c r="A142" s="27" t="s">
        <v>792</v>
      </c>
      <c r="B142" s="27">
        <v>1</v>
      </c>
      <c r="C142" s="27" t="s">
        <v>1532</v>
      </c>
      <c r="D142" s="27" t="s">
        <v>1533</v>
      </c>
      <c r="E142" s="27" t="s">
        <v>1564</v>
      </c>
      <c r="F142" s="27" t="s">
        <v>2447</v>
      </c>
      <c r="G142" s="35">
        <v>43717</v>
      </c>
      <c r="H142" s="269">
        <f t="shared" si="2"/>
        <v>6</v>
      </c>
      <c r="I142" s="35" t="s">
        <v>2335</v>
      </c>
      <c r="J142" s="27" t="s">
        <v>2286</v>
      </c>
      <c r="K142" s="43" t="s">
        <v>2195</v>
      </c>
      <c r="L142" s="27" t="s">
        <v>15</v>
      </c>
      <c r="M142" s="27"/>
      <c r="N142" s="27" t="s">
        <v>15</v>
      </c>
    </row>
    <row r="143" spans="1:14">
      <c r="A143" s="27" t="s">
        <v>792</v>
      </c>
      <c r="B143" s="27">
        <v>1</v>
      </c>
      <c r="C143" s="27" t="s">
        <v>1532</v>
      </c>
      <c r="D143" s="27" t="s">
        <v>1533</v>
      </c>
      <c r="E143" s="27" t="s">
        <v>1565</v>
      </c>
      <c r="F143" s="27" t="s">
        <v>2448</v>
      </c>
      <c r="G143" s="35">
        <v>43717</v>
      </c>
      <c r="H143" s="269">
        <f t="shared" si="2"/>
        <v>6</v>
      </c>
      <c r="I143" s="35" t="s">
        <v>2335</v>
      </c>
      <c r="J143" s="27" t="s">
        <v>2286</v>
      </c>
      <c r="K143" s="43" t="s">
        <v>2208</v>
      </c>
      <c r="L143" s="27" t="s">
        <v>15</v>
      </c>
      <c r="M143" s="27"/>
      <c r="N143" s="27" t="s">
        <v>15</v>
      </c>
    </row>
    <row r="144" spans="1:14">
      <c r="A144" s="27" t="s">
        <v>792</v>
      </c>
      <c r="B144" s="27">
        <v>1</v>
      </c>
      <c r="C144" s="27" t="s">
        <v>1532</v>
      </c>
      <c r="D144" s="27" t="s">
        <v>1533</v>
      </c>
      <c r="E144" s="27" t="s">
        <v>1566</v>
      </c>
      <c r="F144" s="27" t="s">
        <v>2449</v>
      </c>
      <c r="G144" s="35">
        <v>43717</v>
      </c>
      <c r="H144" s="269">
        <f t="shared" si="2"/>
        <v>6</v>
      </c>
      <c r="I144" s="35" t="s">
        <v>2335</v>
      </c>
      <c r="J144" s="27" t="s">
        <v>2286</v>
      </c>
      <c r="K144" s="43" t="s">
        <v>2209</v>
      </c>
      <c r="L144" s="27" t="s">
        <v>15</v>
      </c>
      <c r="M144" s="27"/>
      <c r="N144" s="27" t="s">
        <v>15</v>
      </c>
    </row>
    <row r="145" spans="1:14">
      <c r="A145" s="27" t="s">
        <v>792</v>
      </c>
      <c r="B145" s="27">
        <v>1</v>
      </c>
      <c r="C145" s="27" t="s">
        <v>1532</v>
      </c>
      <c r="D145" s="27" t="s">
        <v>1533</v>
      </c>
      <c r="E145" s="27" t="s">
        <v>1567</v>
      </c>
      <c r="F145" s="27" t="s">
        <v>2450</v>
      </c>
      <c r="G145" s="35">
        <v>43717</v>
      </c>
      <c r="H145" s="269">
        <f t="shared" si="2"/>
        <v>6</v>
      </c>
      <c r="I145" s="35" t="s">
        <v>2335</v>
      </c>
      <c r="J145" s="27" t="s">
        <v>2286</v>
      </c>
      <c r="K145" s="43" t="s">
        <v>2210</v>
      </c>
      <c r="L145" s="27" t="s">
        <v>15</v>
      </c>
      <c r="M145" s="27"/>
      <c r="N145" s="27" t="s">
        <v>15</v>
      </c>
    </row>
    <row r="146" spans="1:14">
      <c r="A146" s="27" t="s">
        <v>792</v>
      </c>
      <c r="B146" s="27">
        <v>1</v>
      </c>
      <c r="C146" s="27" t="s">
        <v>1532</v>
      </c>
      <c r="D146" s="27" t="s">
        <v>1533</v>
      </c>
      <c r="E146" s="27" t="s">
        <v>1568</v>
      </c>
      <c r="F146" s="27" t="s">
        <v>2451</v>
      </c>
      <c r="G146" s="35">
        <v>43717</v>
      </c>
      <c r="H146" s="269">
        <f t="shared" si="2"/>
        <v>6</v>
      </c>
      <c r="I146" s="35" t="s">
        <v>2335</v>
      </c>
      <c r="J146" s="27" t="s">
        <v>2286</v>
      </c>
      <c r="K146" s="43" t="s">
        <v>2195</v>
      </c>
      <c r="L146" s="27" t="s">
        <v>15</v>
      </c>
      <c r="M146" s="27"/>
      <c r="N146" s="27" t="s">
        <v>15</v>
      </c>
    </row>
    <row r="147" spans="1:14">
      <c r="A147" s="27" t="s">
        <v>792</v>
      </c>
      <c r="B147" s="27">
        <v>1</v>
      </c>
      <c r="C147" s="27" t="s">
        <v>1532</v>
      </c>
      <c r="D147" s="27" t="s">
        <v>1533</v>
      </c>
      <c r="E147" s="27" t="s">
        <v>1569</v>
      </c>
      <c r="F147" s="27" t="s">
        <v>2452</v>
      </c>
      <c r="G147" s="35">
        <v>43717</v>
      </c>
      <c r="H147" s="269">
        <f t="shared" si="2"/>
        <v>6</v>
      </c>
      <c r="I147" s="35" t="s">
        <v>2335</v>
      </c>
      <c r="J147" s="27" t="s">
        <v>2286</v>
      </c>
      <c r="K147" s="43" t="s">
        <v>2211</v>
      </c>
      <c r="L147" s="27" t="s">
        <v>15</v>
      </c>
      <c r="M147" s="27"/>
      <c r="N147" s="27" t="s">
        <v>15</v>
      </c>
    </row>
    <row r="148" spans="1:14">
      <c r="A148" s="27" t="s">
        <v>792</v>
      </c>
      <c r="B148" s="27">
        <v>1</v>
      </c>
      <c r="C148" s="27" t="s">
        <v>1532</v>
      </c>
      <c r="D148" s="27" t="s">
        <v>1533</v>
      </c>
      <c r="E148" s="27" t="s">
        <v>1570</v>
      </c>
      <c r="F148" s="27" t="s">
        <v>2453</v>
      </c>
      <c r="G148" s="35">
        <v>43717</v>
      </c>
      <c r="H148" s="269">
        <f t="shared" si="2"/>
        <v>6</v>
      </c>
      <c r="I148" s="35" t="s">
        <v>2335</v>
      </c>
      <c r="J148" s="27" t="s">
        <v>2286</v>
      </c>
      <c r="K148" s="43" t="s">
        <v>2212</v>
      </c>
      <c r="L148" s="27" t="s">
        <v>15</v>
      </c>
      <c r="M148" s="27"/>
      <c r="N148" s="27" t="s">
        <v>15</v>
      </c>
    </row>
    <row r="149" spans="1:14">
      <c r="A149" s="27" t="s">
        <v>792</v>
      </c>
      <c r="B149" s="27">
        <v>1</v>
      </c>
      <c r="C149" s="27" t="s">
        <v>1532</v>
      </c>
      <c r="D149" s="27" t="s">
        <v>1533</v>
      </c>
      <c r="E149" s="27" t="s">
        <v>1571</v>
      </c>
      <c r="F149" s="27" t="s">
        <v>2454</v>
      </c>
      <c r="G149" s="35">
        <v>43717</v>
      </c>
      <c r="H149" s="269">
        <f t="shared" si="2"/>
        <v>6</v>
      </c>
      <c r="I149" s="35" t="s">
        <v>2335</v>
      </c>
      <c r="J149" s="27" t="s">
        <v>2286</v>
      </c>
      <c r="K149" s="43" t="s">
        <v>2213</v>
      </c>
      <c r="L149" s="27" t="s">
        <v>15</v>
      </c>
      <c r="M149" s="27"/>
      <c r="N149" s="27" t="s">
        <v>15</v>
      </c>
    </row>
    <row r="150" spans="1:14">
      <c r="A150" s="27" t="s">
        <v>792</v>
      </c>
      <c r="B150" s="27">
        <v>1</v>
      </c>
      <c r="C150" s="27" t="s">
        <v>1532</v>
      </c>
      <c r="D150" s="27" t="s">
        <v>1533</v>
      </c>
      <c r="E150" s="27" t="s">
        <v>1573</v>
      </c>
      <c r="F150" s="27" t="s">
        <v>2455</v>
      </c>
      <c r="G150" s="35">
        <v>43717</v>
      </c>
      <c r="H150" s="269">
        <f t="shared" si="2"/>
        <v>6</v>
      </c>
      <c r="I150" s="35" t="s">
        <v>2335</v>
      </c>
      <c r="J150" s="27" t="s">
        <v>2286</v>
      </c>
      <c r="K150" s="43" t="s">
        <v>2214</v>
      </c>
      <c r="L150" s="27" t="s">
        <v>15</v>
      </c>
      <c r="M150" s="27"/>
      <c r="N150" s="27" t="s">
        <v>15</v>
      </c>
    </row>
    <row r="151" spans="1:14">
      <c r="A151" s="27" t="s">
        <v>792</v>
      </c>
      <c r="B151" s="27">
        <v>1</v>
      </c>
      <c r="C151" s="27" t="s">
        <v>1532</v>
      </c>
      <c r="D151" s="27" t="s">
        <v>1533</v>
      </c>
      <c r="E151" s="27" t="s">
        <v>1574</v>
      </c>
      <c r="F151" s="27" t="s">
        <v>2456</v>
      </c>
      <c r="G151" s="35">
        <v>43717</v>
      </c>
      <c r="H151" s="269">
        <f t="shared" si="2"/>
        <v>6</v>
      </c>
      <c r="I151" s="35" t="s">
        <v>2335</v>
      </c>
      <c r="J151" s="27" t="s">
        <v>2286</v>
      </c>
      <c r="K151" s="43" t="s">
        <v>2215</v>
      </c>
      <c r="L151" s="27" t="s">
        <v>15</v>
      </c>
      <c r="M151" s="27"/>
      <c r="N151" s="27" t="s">
        <v>15</v>
      </c>
    </row>
    <row r="152" spans="1:14">
      <c r="A152" s="27" t="s">
        <v>792</v>
      </c>
      <c r="B152" s="27">
        <v>1</v>
      </c>
      <c r="C152" s="27" t="s">
        <v>1532</v>
      </c>
      <c r="D152" s="27" t="s">
        <v>1533</v>
      </c>
      <c r="E152" s="27" t="s">
        <v>1575</v>
      </c>
      <c r="F152" s="27" t="s">
        <v>2457</v>
      </c>
      <c r="G152" s="35">
        <v>43717</v>
      </c>
      <c r="H152" s="269">
        <f t="shared" si="2"/>
        <v>6</v>
      </c>
      <c r="I152" s="35" t="s">
        <v>2335</v>
      </c>
      <c r="J152" s="27" t="s">
        <v>2286</v>
      </c>
      <c r="K152" s="43" t="s">
        <v>2216</v>
      </c>
      <c r="L152" s="27" t="s">
        <v>15</v>
      </c>
      <c r="M152" s="27"/>
      <c r="N152" s="27" t="s">
        <v>15</v>
      </c>
    </row>
    <row r="153" spans="1:14">
      <c r="A153" s="27" t="s">
        <v>792</v>
      </c>
      <c r="B153" s="27">
        <v>1</v>
      </c>
      <c r="C153" s="27" t="s">
        <v>1532</v>
      </c>
      <c r="D153" s="27" t="s">
        <v>1533</v>
      </c>
      <c r="E153" s="27" t="s">
        <v>1576</v>
      </c>
      <c r="F153" s="27" t="s">
        <v>2458</v>
      </c>
      <c r="G153" s="35">
        <v>43717</v>
      </c>
      <c r="H153" s="269">
        <f t="shared" si="2"/>
        <v>6</v>
      </c>
      <c r="I153" s="35" t="s">
        <v>2335</v>
      </c>
      <c r="J153" s="27" t="s">
        <v>2286</v>
      </c>
      <c r="K153" s="43" t="s">
        <v>2217</v>
      </c>
      <c r="L153" s="27" t="s">
        <v>15</v>
      </c>
      <c r="M153" s="27"/>
      <c r="N153" s="27" t="s">
        <v>15</v>
      </c>
    </row>
    <row r="154" spans="1:14">
      <c r="A154" s="27" t="s">
        <v>792</v>
      </c>
      <c r="B154" s="27">
        <v>1</v>
      </c>
      <c r="C154" s="27" t="s">
        <v>1532</v>
      </c>
      <c r="D154" s="27" t="s">
        <v>1533</v>
      </c>
      <c r="E154" s="27" t="s">
        <v>1577</v>
      </c>
      <c r="F154" s="27" t="s">
        <v>2459</v>
      </c>
      <c r="G154" s="35">
        <v>43717</v>
      </c>
      <c r="H154" s="269">
        <f t="shared" si="2"/>
        <v>6</v>
      </c>
      <c r="I154" s="35" t="s">
        <v>2335</v>
      </c>
      <c r="J154" s="27" t="s">
        <v>2286</v>
      </c>
      <c r="K154" s="43" t="s">
        <v>2218</v>
      </c>
      <c r="L154" s="27" t="s">
        <v>15</v>
      </c>
      <c r="M154" s="27"/>
      <c r="N154" s="27" t="s">
        <v>15</v>
      </c>
    </row>
    <row r="155" spans="1:14">
      <c r="A155" s="27" t="s">
        <v>792</v>
      </c>
      <c r="B155" s="27">
        <v>1</v>
      </c>
      <c r="C155" s="27" t="s">
        <v>1532</v>
      </c>
      <c r="D155" s="27" t="s">
        <v>1533</v>
      </c>
      <c r="E155" s="27" t="s">
        <v>1578</v>
      </c>
      <c r="F155" s="27" t="s">
        <v>2460</v>
      </c>
      <c r="G155" s="35">
        <v>43717</v>
      </c>
      <c r="H155" s="269">
        <f t="shared" si="2"/>
        <v>6</v>
      </c>
      <c r="I155" s="35" t="s">
        <v>2335</v>
      </c>
      <c r="J155" s="27" t="s">
        <v>2286</v>
      </c>
      <c r="K155" s="43" t="s">
        <v>2219</v>
      </c>
      <c r="L155" s="27" t="s">
        <v>15</v>
      </c>
      <c r="M155" s="27"/>
      <c r="N155" s="27" t="s">
        <v>15</v>
      </c>
    </row>
    <row r="156" spans="1:14">
      <c r="A156" s="27" t="s">
        <v>792</v>
      </c>
      <c r="B156" s="27">
        <v>1</v>
      </c>
      <c r="C156" s="27" t="s">
        <v>1532</v>
      </c>
      <c r="D156" s="27" t="s">
        <v>1533</v>
      </c>
      <c r="E156" s="27" t="s">
        <v>1579</v>
      </c>
      <c r="F156" s="27" t="s">
        <v>2461</v>
      </c>
      <c r="G156" s="35">
        <v>43717</v>
      </c>
      <c r="H156" s="269">
        <f t="shared" si="2"/>
        <v>6</v>
      </c>
      <c r="I156" s="35" t="s">
        <v>2335</v>
      </c>
      <c r="J156" s="27" t="s">
        <v>2286</v>
      </c>
      <c r="K156" s="43" t="s">
        <v>2220</v>
      </c>
      <c r="L156" s="27" t="s">
        <v>15</v>
      </c>
      <c r="M156" s="27"/>
      <c r="N156" s="27" t="s">
        <v>15</v>
      </c>
    </row>
    <row r="157" spans="1:14">
      <c r="A157" s="27" t="s">
        <v>792</v>
      </c>
      <c r="B157" s="27">
        <v>1</v>
      </c>
      <c r="C157" s="27" t="s">
        <v>1532</v>
      </c>
      <c r="D157" s="27" t="s">
        <v>1533</v>
      </c>
      <c r="E157" s="27" t="s">
        <v>1580</v>
      </c>
      <c r="F157" s="27" t="s">
        <v>2462</v>
      </c>
      <c r="G157" s="35">
        <v>43717</v>
      </c>
      <c r="H157" s="269">
        <f t="shared" si="2"/>
        <v>6</v>
      </c>
      <c r="I157" s="35" t="s">
        <v>2335</v>
      </c>
      <c r="J157" s="27" t="s">
        <v>2286</v>
      </c>
      <c r="K157" s="43" t="s">
        <v>2221</v>
      </c>
      <c r="L157" s="27" t="s">
        <v>15</v>
      </c>
      <c r="M157" s="27"/>
      <c r="N157" s="27" t="s">
        <v>15</v>
      </c>
    </row>
    <row r="158" spans="1:14">
      <c r="A158" s="27" t="s">
        <v>792</v>
      </c>
      <c r="B158" s="27">
        <v>1</v>
      </c>
      <c r="C158" s="27" t="s">
        <v>1532</v>
      </c>
      <c r="D158" s="27" t="s">
        <v>1533</v>
      </c>
      <c r="E158" s="27" t="s">
        <v>1581</v>
      </c>
      <c r="F158" s="27" t="s">
        <v>2463</v>
      </c>
      <c r="G158" s="35">
        <v>43717</v>
      </c>
      <c r="H158" s="269">
        <f t="shared" si="2"/>
        <v>6</v>
      </c>
      <c r="I158" s="35" t="s">
        <v>2335</v>
      </c>
      <c r="J158" s="27" t="s">
        <v>2286</v>
      </c>
      <c r="K158" s="43" t="s">
        <v>2222</v>
      </c>
      <c r="L158" s="27" t="s">
        <v>15</v>
      </c>
      <c r="M158" s="27"/>
      <c r="N158" s="27" t="s">
        <v>15</v>
      </c>
    </row>
    <row r="159" spans="1:14">
      <c r="A159" s="27" t="s">
        <v>792</v>
      </c>
      <c r="B159" s="27">
        <v>1</v>
      </c>
      <c r="C159" s="27" t="s">
        <v>1532</v>
      </c>
      <c r="D159" s="27" t="s">
        <v>1533</v>
      </c>
      <c r="E159" s="27" t="s">
        <v>1582</v>
      </c>
      <c r="F159" s="27" t="s">
        <v>2464</v>
      </c>
      <c r="G159" s="35">
        <v>43717</v>
      </c>
      <c r="H159" s="269">
        <f t="shared" si="2"/>
        <v>6</v>
      </c>
      <c r="I159" s="35" t="s">
        <v>2335</v>
      </c>
      <c r="J159" s="27" t="s">
        <v>2286</v>
      </c>
      <c r="K159" s="43" t="s">
        <v>2223</v>
      </c>
      <c r="L159" s="27" t="s">
        <v>15</v>
      </c>
      <c r="M159" s="27"/>
      <c r="N159" s="27" t="s">
        <v>15</v>
      </c>
    </row>
    <row r="160" spans="1:14">
      <c r="A160" s="27" t="s">
        <v>792</v>
      </c>
      <c r="B160" s="27">
        <v>1</v>
      </c>
      <c r="C160" s="27" t="s">
        <v>1532</v>
      </c>
      <c r="D160" s="27" t="s">
        <v>1533</v>
      </c>
      <c r="E160" s="27" t="s">
        <v>1583</v>
      </c>
      <c r="F160" s="27" t="s">
        <v>2465</v>
      </c>
      <c r="G160" s="35">
        <v>43717</v>
      </c>
      <c r="H160" s="269">
        <f t="shared" si="2"/>
        <v>6</v>
      </c>
      <c r="I160" s="35" t="s">
        <v>2335</v>
      </c>
      <c r="J160" s="27" t="s">
        <v>2286</v>
      </c>
      <c r="K160" s="43" t="s">
        <v>2224</v>
      </c>
      <c r="L160" s="27" t="s">
        <v>15</v>
      </c>
      <c r="M160" s="27"/>
      <c r="N160" s="27" t="s">
        <v>15</v>
      </c>
    </row>
    <row r="161" spans="1:14">
      <c r="A161" s="262" t="s">
        <v>1584</v>
      </c>
      <c r="B161" s="262">
        <v>1</v>
      </c>
      <c r="C161" s="262" t="s">
        <v>1585</v>
      </c>
      <c r="D161" s="262" t="s">
        <v>1586</v>
      </c>
      <c r="E161" s="262" t="s">
        <v>1587</v>
      </c>
      <c r="F161" s="262" t="s">
        <v>2466</v>
      </c>
      <c r="G161" s="264">
        <v>43993</v>
      </c>
      <c r="H161" s="271">
        <f t="shared" si="2"/>
        <v>5</v>
      </c>
      <c r="I161" s="264" t="s">
        <v>2335</v>
      </c>
      <c r="J161" s="262" t="s">
        <v>15</v>
      </c>
      <c r="K161" s="262" t="s">
        <v>1222</v>
      </c>
      <c r="L161" s="262" t="s">
        <v>1453</v>
      </c>
      <c r="M161" s="262" t="s">
        <v>2936</v>
      </c>
      <c r="N161" s="262" t="s">
        <v>2975</v>
      </c>
    </row>
    <row r="162" spans="1:14">
      <c r="A162" s="280" t="s">
        <v>1584</v>
      </c>
      <c r="B162" s="280">
        <v>1</v>
      </c>
      <c r="C162" s="280" t="s">
        <v>1585</v>
      </c>
      <c r="D162" s="280" t="s">
        <v>1586</v>
      </c>
      <c r="E162" s="280" t="s">
        <v>1588</v>
      </c>
      <c r="F162" s="280" t="s">
        <v>2467</v>
      </c>
      <c r="G162" s="281">
        <v>43993</v>
      </c>
      <c r="H162" s="282">
        <f t="shared" si="2"/>
        <v>5</v>
      </c>
      <c r="I162" s="281" t="s">
        <v>2335</v>
      </c>
      <c r="J162" s="280" t="s">
        <v>15</v>
      </c>
      <c r="K162" s="280" t="s">
        <v>1162</v>
      </c>
      <c r="L162" s="280" t="s">
        <v>27</v>
      </c>
      <c r="M162" s="280"/>
      <c r="N162" s="280"/>
    </row>
    <row r="163" spans="1:14">
      <c r="A163" s="280" t="s">
        <v>1584</v>
      </c>
      <c r="B163" s="280">
        <v>1</v>
      </c>
      <c r="C163" s="280" t="s">
        <v>1585</v>
      </c>
      <c r="D163" s="280" t="s">
        <v>1586</v>
      </c>
      <c r="E163" s="280" t="s">
        <v>1589</v>
      </c>
      <c r="F163" s="280" t="s">
        <v>2468</v>
      </c>
      <c r="G163" s="281">
        <v>43993</v>
      </c>
      <c r="H163" s="282">
        <f t="shared" si="2"/>
        <v>5</v>
      </c>
      <c r="I163" s="281" t="s">
        <v>2335</v>
      </c>
      <c r="J163" s="280" t="s">
        <v>15</v>
      </c>
      <c r="K163" s="280" t="s">
        <v>1162</v>
      </c>
      <c r="L163" s="280" t="s">
        <v>27</v>
      </c>
      <c r="M163" s="280"/>
      <c r="N163" s="280"/>
    </row>
    <row r="164" spans="1:14">
      <c r="A164" s="262" t="s">
        <v>1584</v>
      </c>
      <c r="B164" s="262">
        <v>1</v>
      </c>
      <c r="C164" s="262" t="s">
        <v>1585</v>
      </c>
      <c r="D164" s="262" t="s">
        <v>1586</v>
      </c>
      <c r="E164" s="262" t="s">
        <v>1590</v>
      </c>
      <c r="F164" s="262" t="s">
        <v>2469</v>
      </c>
      <c r="G164" s="264">
        <v>43993</v>
      </c>
      <c r="H164" s="271">
        <f t="shared" si="2"/>
        <v>5</v>
      </c>
      <c r="I164" s="264" t="s">
        <v>2335</v>
      </c>
      <c r="J164" s="262" t="s">
        <v>15</v>
      </c>
      <c r="K164" s="262" t="s">
        <v>1222</v>
      </c>
      <c r="L164" s="262" t="s">
        <v>1453</v>
      </c>
      <c r="M164" s="262" t="s">
        <v>2936</v>
      </c>
      <c r="N164" s="262" t="s">
        <v>2975</v>
      </c>
    </row>
    <row r="165" spans="1:14">
      <c r="A165" s="262" t="s">
        <v>1584</v>
      </c>
      <c r="B165" s="262">
        <v>1</v>
      </c>
      <c r="C165" s="262" t="s">
        <v>1585</v>
      </c>
      <c r="D165" s="262" t="s">
        <v>1586</v>
      </c>
      <c r="E165" s="262" t="s">
        <v>1591</v>
      </c>
      <c r="F165" s="262" t="s">
        <v>2470</v>
      </c>
      <c r="G165" s="264">
        <v>43993</v>
      </c>
      <c r="H165" s="271">
        <f t="shared" si="2"/>
        <v>5</v>
      </c>
      <c r="I165" s="264" t="s">
        <v>2335</v>
      </c>
      <c r="J165" s="262" t="s">
        <v>15</v>
      </c>
      <c r="K165" s="262" t="s">
        <v>1222</v>
      </c>
      <c r="L165" s="262" t="s">
        <v>1453</v>
      </c>
      <c r="M165" s="262" t="s">
        <v>2936</v>
      </c>
      <c r="N165" s="262" t="s">
        <v>2975</v>
      </c>
    </row>
    <row r="166" spans="1:14">
      <c r="A166" s="262" t="s">
        <v>1584</v>
      </c>
      <c r="B166" s="262">
        <v>1</v>
      </c>
      <c r="C166" s="262" t="s">
        <v>2976</v>
      </c>
      <c r="D166" s="262" t="s">
        <v>2977</v>
      </c>
      <c r="E166" s="262" t="s">
        <v>35</v>
      </c>
      <c r="F166" s="262" t="s">
        <v>2978</v>
      </c>
      <c r="G166" s="264"/>
      <c r="H166" s="271"/>
      <c r="I166" s="264"/>
      <c r="J166" s="262"/>
      <c r="K166" s="262" t="s">
        <v>1222</v>
      </c>
      <c r="L166" s="262" t="s">
        <v>1453</v>
      </c>
      <c r="M166" s="262" t="s">
        <v>2936</v>
      </c>
      <c r="N166" s="262" t="s">
        <v>2975</v>
      </c>
    </row>
    <row r="167" spans="1:14">
      <c r="A167" s="262" t="s">
        <v>1584</v>
      </c>
      <c r="B167" s="262">
        <v>1</v>
      </c>
      <c r="C167" s="262" t="s">
        <v>2976</v>
      </c>
      <c r="D167" s="262" t="s">
        <v>2977</v>
      </c>
      <c r="E167" s="262" t="s">
        <v>35</v>
      </c>
      <c r="F167" s="262" t="s">
        <v>2979</v>
      </c>
      <c r="G167" s="264"/>
      <c r="H167" s="271"/>
      <c r="I167" s="264"/>
      <c r="J167" s="262"/>
      <c r="K167" s="262" t="s">
        <v>1222</v>
      </c>
      <c r="L167" s="262" t="s">
        <v>1453</v>
      </c>
      <c r="M167" s="262" t="s">
        <v>2936</v>
      </c>
      <c r="N167" s="262" t="s">
        <v>2975</v>
      </c>
    </row>
    <row r="168" spans="1:14">
      <c r="A168" s="262" t="s">
        <v>1584</v>
      </c>
      <c r="B168" s="262">
        <v>1</v>
      </c>
      <c r="C168" s="262" t="s">
        <v>2980</v>
      </c>
      <c r="D168" s="262" t="s">
        <v>2981</v>
      </c>
      <c r="E168" s="262">
        <v>32002750</v>
      </c>
      <c r="F168" s="262" t="s">
        <v>2982</v>
      </c>
      <c r="G168" s="264"/>
      <c r="H168" s="271"/>
      <c r="I168" s="264"/>
      <c r="J168" s="262"/>
      <c r="K168" s="262" t="s">
        <v>1222</v>
      </c>
      <c r="L168" s="262" t="s">
        <v>1453</v>
      </c>
      <c r="M168" s="262" t="s">
        <v>2936</v>
      </c>
      <c r="N168" s="262" t="s">
        <v>2975</v>
      </c>
    </row>
    <row r="169" spans="1:14">
      <c r="A169" s="262" t="s">
        <v>1584</v>
      </c>
      <c r="B169" s="262">
        <v>1</v>
      </c>
      <c r="C169" s="262" t="s">
        <v>2980</v>
      </c>
      <c r="D169" s="262" t="s">
        <v>2981</v>
      </c>
      <c r="E169" s="262" t="s">
        <v>35</v>
      </c>
      <c r="F169" s="262" t="s">
        <v>2983</v>
      </c>
      <c r="G169" s="264"/>
      <c r="H169" s="271"/>
      <c r="I169" s="264"/>
      <c r="J169" s="262"/>
      <c r="K169" s="262" t="s">
        <v>1222</v>
      </c>
      <c r="L169" s="262" t="s">
        <v>1453</v>
      </c>
      <c r="M169" s="262" t="s">
        <v>2936</v>
      </c>
      <c r="N169" s="262" t="s">
        <v>2975</v>
      </c>
    </row>
    <row r="170" spans="1:14">
      <c r="A170" s="315" t="s">
        <v>1592</v>
      </c>
      <c r="B170" s="316">
        <v>1</v>
      </c>
      <c r="C170" s="316" t="s">
        <v>1015</v>
      </c>
      <c r="D170" s="316" t="s">
        <v>1016</v>
      </c>
      <c r="E170" s="316" t="s">
        <v>1593</v>
      </c>
      <c r="F170" s="317" t="s">
        <v>2471</v>
      </c>
      <c r="G170" s="318">
        <v>43728</v>
      </c>
      <c r="H170" s="319">
        <f t="shared" si="2"/>
        <v>6</v>
      </c>
      <c r="I170" s="318" t="s">
        <v>2336</v>
      </c>
      <c r="J170" s="316" t="s">
        <v>15</v>
      </c>
      <c r="K170" s="316" t="s">
        <v>15</v>
      </c>
      <c r="L170" s="316" t="s">
        <v>17</v>
      </c>
      <c r="M170" s="316" t="s">
        <v>27</v>
      </c>
      <c r="N170" s="316" t="s">
        <v>15</v>
      </c>
    </row>
    <row r="171" spans="1:14">
      <c r="A171" s="280" t="s">
        <v>1287</v>
      </c>
      <c r="B171" s="280">
        <v>1</v>
      </c>
      <c r="C171" s="280" t="s">
        <v>1288</v>
      </c>
      <c r="D171" s="280" t="s">
        <v>1289</v>
      </c>
      <c r="E171" s="285" t="s">
        <v>35</v>
      </c>
      <c r="F171" s="284" t="s">
        <v>2809</v>
      </c>
      <c r="G171" s="292">
        <v>45294</v>
      </c>
      <c r="H171" s="293">
        <f t="shared" si="2"/>
        <v>1</v>
      </c>
      <c r="I171" s="292" t="s">
        <v>2335</v>
      </c>
      <c r="J171" s="285" t="s">
        <v>15</v>
      </c>
      <c r="K171" s="280" t="s">
        <v>1222</v>
      </c>
      <c r="L171" s="280" t="s">
        <v>27</v>
      </c>
      <c r="M171" s="280" t="s">
        <v>27</v>
      </c>
      <c r="N171" s="280" t="s">
        <v>15</v>
      </c>
    </row>
    <row r="172" spans="1:14">
      <c r="A172" s="280" t="s">
        <v>1287</v>
      </c>
      <c r="B172" s="280">
        <v>1</v>
      </c>
      <c r="C172" s="280" t="s">
        <v>1288</v>
      </c>
      <c r="D172" s="280" t="s">
        <v>1289</v>
      </c>
      <c r="E172" s="285" t="s">
        <v>35</v>
      </c>
      <c r="F172" s="284" t="s">
        <v>2810</v>
      </c>
      <c r="G172" s="292">
        <v>45294</v>
      </c>
      <c r="H172" s="293">
        <f t="shared" si="2"/>
        <v>1</v>
      </c>
      <c r="I172" s="292" t="s">
        <v>2335</v>
      </c>
      <c r="J172" s="285" t="s">
        <v>15</v>
      </c>
      <c r="K172" s="280" t="s">
        <v>1222</v>
      </c>
      <c r="L172" s="280" t="s">
        <v>27</v>
      </c>
      <c r="M172" s="280" t="s">
        <v>27</v>
      </c>
      <c r="N172" s="280" t="s">
        <v>15</v>
      </c>
    </row>
    <row r="173" spans="1:14">
      <c r="A173" s="280" t="s">
        <v>1287</v>
      </c>
      <c r="B173" s="280">
        <v>1</v>
      </c>
      <c r="C173" s="280" t="s">
        <v>1288</v>
      </c>
      <c r="D173" s="280" t="s">
        <v>1289</v>
      </c>
      <c r="E173" s="285" t="s">
        <v>35</v>
      </c>
      <c r="F173" s="284" t="s">
        <v>2811</v>
      </c>
      <c r="G173" s="292">
        <v>44657</v>
      </c>
      <c r="H173" s="293">
        <f t="shared" si="2"/>
        <v>3</v>
      </c>
      <c r="I173" s="292" t="s">
        <v>2335</v>
      </c>
      <c r="J173" s="285" t="s">
        <v>15</v>
      </c>
      <c r="K173" s="280" t="s">
        <v>1222</v>
      </c>
      <c r="L173" s="280" t="s">
        <v>27</v>
      </c>
      <c r="M173" s="280" t="s">
        <v>27</v>
      </c>
      <c r="N173" s="280" t="s">
        <v>15</v>
      </c>
    </row>
    <row r="174" spans="1:14">
      <c r="A174" s="280" t="s">
        <v>1287</v>
      </c>
      <c r="B174" s="280">
        <v>1</v>
      </c>
      <c r="C174" s="280" t="s">
        <v>1288</v>
      </c>
      <c r="D174" s="280" t="s">
        <v>1289</v>
      </c>
      <c r="E174" s="285" t="s">
        <v>35</v>
      </c>
      <c r="F174" s="284" t="s">
        <v>2812</v>
      </c>
      <c r="G174" s="292">
        <v>44657</v>
      </c>
      <c r="H174" s="293">
        <f t="shared" si="2"/>
        <v>3</v>
      </c>
      <c r="I174" s="292" t="s">
        <v>2335</v>
      </c>
      <c r="J174" s="285" t="s">
        <v>15</v>
      </c>
      <c r="K174" s="280" t="s">
        <v>78</v>
      </c>
      <c r="L174" s="280" t="s">
        <v>27</v>
      </c>
      <c r="M174" s="280" t="s">
        <v>27</v>
      </c>
      <c r="N174" s="280" t="s">
        <v>15</v>
      </c>
    </row>
    <row r="175" spans="1:14">
      <c r="A175" s="280" t="s">
        <v>1287</v>
      </c>
      <c r="B175" s="280">
        <v>1</v>
      </c>
      <c r="C175" s="280" t="s">
        <v>1288</v>
      </c>
      <c r="D175" s="280" t="s">
        <v>1289</v>
      </c>
      <c r="E175" s="285" t="s">
        <v>35</v>
      </c>
      <c r="F175" s="284" t="s">
        <v>2813</v>
      </c>
      <c r="G175" s="292">
        <v>44657</v>
      </c>
      <c r="H175" s="293">
        <f t="shared" si="2"/>
        <v>3</v>
      </c>
      <c r="I175" s="292" t="s">
        <v>2335</v>
      </c>
      <c r="J175" s="285" t="s">
        <v>15</v>
      </c>
      <c r="K175" s="280" t="s">
        <v>78</v>
      </c>
      <c r="L175" s="280" t="s">
        <v>27</v>
      </c>
      <c r="M175" s="280" t="s">
        <v>27</v>
      </c>
      <c r="N175" s="280" t="s">
        <v>15</v>
      </c>
    </row>
    <row r="176" spans="1:14">
      <c r="A176" s="280" t="s">
        <v>1287</v>
      </c>
      <c r="B176" s="280">
        <v>1</v>
      </c>
      <c r="C176" s="280" t="s">
        <v>1288</v>
      </c>
      <c r="D176" s="280" t="s">
        <v>1289</v>
      </c>
      <c r="E176" s="285" t="s">
        <v>35</v>
      </c>
      <c r="F176" s="284" t="s">
        <v>2814</v>
      </c>
      <c r="G176" s="292">
        <v>44657</v>
      </c>
      <c r="H176" s="293">
        <f t="shared" si="2"/>
        <v>3</v>
      </c>
      <c r="I176" s="292" t="s">
        <v>2335</v>
      </c>
      <c r="J176" s="285" t="s">
        <v>15</v>
      </c>
      <c r="K176" s="280" t="s">
        <v>78</v>
      </c>
      <c r="L176" s="280" t="s">
        <v>27</v>
      </c>
      <c r="M176" s="280" t="s">
        <v>27</v>
      </c>
      <c r="N176" s="280" t="s">
        <v>15</v>
      </c>
    </row>
    <row r="177" spans="1:14">
      <c r="A177" s="262" t="s">
        <v>1287</v>
      </c>
      <c r="B177" s="262">
        <v>1</v>
      </c>
      <c r="C177" s="262" t="s">
        <v>1288</v>
      </c>
      <c r="D177" s="262" t="s">
        <v>1289</v>
      </c>
      <c r="E177" s="297" t="s">
        <v>35</v>
      </c>
      <c r="F177" s="277" t="s">
        <v>2815</v>
      </c>
      <c r="G177" s="298">
        <v>44657</v>
      </c>
      <c r="H177" s="299">
        <f t="shared" si="2"/>
        <v>3</v>
      </c>
      <c r="I177" s="298" t="s">
        <v>2335</v>
      </c>
      <c r="J177" s="297" t="s">
        <v>15</v>
      </c>
      <c r="K177" s="297" t="s">
        <v>1498</v>
      </c>
      <c r="L177" s="304" t="s">
        <v>2960</v>
      </c>
      <c r="M177" s="262"/>
      <c r="N177" s="262" t="s">
        <v>1453</v>
      </c>
    </row>
    <row r="178" spans="1:14">
      <c r="A178" s="280" t="s">
        <v>1287</v>
      </c>
      <c r="B178" s="280">
        <v>1</v>
      </c>
      <c r="C178" s="280" t="s">
        <v>1288</v>
      </c>
      <c r="D178" s="280" t="s">
        <v>1289</v>
      </c>
      <c r="E178" s="285" t="s">
        <v>35</v>
      </c>
      <c r="F178" s="284" t="s">
        <v>2816</v>
      </c>
      <c r="G178" s="292">
        <v>44230</v>
      </c>
      <c r="H178" s="293">
        <f t="shared" si="2"/>
        <v>4</v>
      </c>
      <c r="I178" s="292" t="s">
        <v>2335</v>
      </c>
      <c r="J178" s="285" t="s">
        <v>15</v>
      </c>
      <c r="K178" s="285" t="s">
        <v>1162</v>
      </c>
      <c r="L178" s="280" t="s">
        <v>27</v>
      </c>
      <c r="M178" s="280" t="s">
        <v>27</v>
      </c>
      <c r="N178" s="280" t="s">
        <v>15</v>
      </c>
    </row>
    <row r="179" spans="1:14">
      <c r="A179" s="280" t="s">
        <v>1287</v>
      </c>
      <c r="B179" s="280">
        <v>1</v>
      </c>
      <c r="C179" s="280" t="s">
        <v>1288</v>
      </c>
      <c r="D179" s="280" t="s">
        <v>1289</v>
      </c>
      <c r="E179" s="285" t="s">
        <v>35</v>
      </c>
      <c r="F179" s="284" t="s">
        <v>2817</v>
      </c>
      <c r="G179" s="292">
        <v>44230</v>
      </c>
      <c r="H179" s="293">
        <f t="shared" si="2"/>
        <v>4</v>
      </c>
      <c r="I179" s="292" t="s">
        <v>2335</v>
      </c>
      <c r="J179" s="285" t="s">
        <v>15</v>
      </c>
      <c r="K179" s="285" t="s">
        <v>2887</v>
      </c>
      <c r="L179" s="280" t="s">
        <v>15</v>
      </c>
      <c r="M179" s="280"/>
      <c r="N179" s="280" t="s">
        <v>15</v>
      </c>
    </row>
    <row r="180" spans="1:14">
      <c r="A180" s="262" t="s">
        <v>1287</v>
      </c>
      <c r="B180" s="262">
        <v>1</v>
      </c>
      <c r="C180" s="262" t="s">
        <v>1288</v>
      </c>
      <c r="D180" s="262" t="s">
        <v>1289</v>
      </c>
      <c r="E180" s="297" t="s">
        <v>35</v>
      </c>
      <c r="F180" s="277" t="s">
        <v>2818</v>
      </c>
      <c r="G180" s="298">
        <v>44230</v>
      </c>
      <c r="H180" s="299">
        <f t="shared" si="2"/>
        <v>4</v>
      </c>
      <c r="I180" s="298" t="s">
        <v>2335</v>
      </c>
      <c r="J180" s="297" t="s">
        <v>15</v>
      </c>
      <c r="K180" s="297" t="s">
        <v>1498</v>
      </c>
      <c r="L180" s="304" t="s">
        <v>2960</v>
      </c>
      <c r="M180" s="262"/>
      <c r="N180" s="262" t="s">
        <v>1453</v>
      </c>
    </row>
    <row r="181" spans="1:14">
      <c r="A181" s="280" t="s">
        <v>1287</v>
      </c>
      <c r="B181" s="280">
        <v>1</v>
      </c>
      <c r="C181" s="280" t="s">
        <v>1288</v>
      </c>
      <c r="D181" s="280" t="s">
        <v>1289</v>
      </c>
      <c r="E181" s="285" t="s">
        <v>35</v>
      </c>
      <c r="F181" s="284" t="s">
        <v>2819</v>
      </c>
      <c r="G181" s="292">
        <v>44230</v>
      </c>
      <c r="H181" s="293">
        <f t="shared" si="2"/>
        <v>4</v>
      </c>
      <c r="I181" s="292" t="s">
        <v>2335</v>
      </c>
      <c r="J181" s="285" t="s">
        <v>15</v>
      </c>
      <c r="K181" s="285" t="s">
        <v>1162</v>
      </c>
      <c r="L181" s="280" t="s">
        <v>27</v>
      </c>
      <c r="M181" s="280" t="s">
        <v>27</v>
      </c>
      <c r="N181" s="280" t="s">
        <v>15</v>
      </c>
    </row>
    <row r="182" spans="1:14">
      <c r="A182" s="280" t="s">
        <v>1287</v>
      </c>
      <c r="B182" s="280">
        <v>1</v>
      </c>
      <c r="C182" s="280" t="s">
        <v>1288</v>
      </c>
      <c r="D182" s="280" t="s">
        <v>1289</v>
      </c>
      <c r="E182" s="285" t="s">
        <v>35</v>
      </c>
      <c r="F182" s="284" t="s">
        <v>2820</v>
      </c>
      <c r="G182" s="292">
        <v>44116</v>
      </c>
      <c r="H182" s="293">
        <f t="shared" si="2"/>
        <v>5</v>
      </c>
      <c r="I182" s="292" t="s">
        <v>2335</v>
      </c>
      <c r="J182" s="285" t="s">
        <v>15</v>
      </c>
      <c r="K182" s="285" t="s">
        <v>2887</v>
      </c>
      <c r="L182" s="280" t="s">
        <v>15</v>
      </c>
      <c r="M182" s="280"/>
      <c r="N182" s="280" t="s">
        <v>15</v>
      </c>
    </row>
    <row r="183" spans="1:14">
      <c r="A183" s="280" t="s">
        <v>1287</v>
      </c>
      <c r="B183" s="280">
        <v>1</v>
      </c>
      <c r="C183" s="280" t="s">
        <v>1288</v>
      </c>
      <c r="D183" s="280" t="s">
        <v>1289</v>
      </c>
      <c r="E183" s="285" t="s">
        <v>35</v>
      </c>
      <c r="F183" s="284" t="s">
        <v>2821</v>
      </c>
      <c r="G183" s="292">
        <v>45294</v>
      </c>
      <c r="H183" s="293">
        <f t="shared" si="2"/>
        <v>1</v>
      </c>
      <c r="I183" s="292" t="s">
        <v>2335</v>
      </c>
      <c r="J183" s="285" t="s">
        <v>15</v>
      </c>
      <c r="K183" s="285" t="s">
        <v>2945</v>
      </c>
      <c r="L183" s="280" t="s">
        <v>27</v>
      </c>
      <c r="M183" s="280" t="s">
        <v>27</v>
      </c>
      <c r="N183" s="280" t="s">
        <v>15</v>
      </c>
    </row>
    <row r="184" spans="1:14">
      <c r="A184" s="280" t="s">
        <v>1287</v>
      </c>
      <c r="B184" s="280">
        <v>1</v>
      </c>
      <c r="C184" s="280" t="s">
        <v>1288</v>
      </c>
      <c r="D184" s="280" t="s">
        <v>1289</v>
      </c>
      <c r="E184" s="285" t="s">
        <v>35</v>
      </c>
      <c r="F184" s="284" t="s">
        <v>2822</v>
      </c>
      <c r="G184" s="292">
        <v>45294</v>
      </c>
      <c r="H184" s="293">
        <f t="shared" si="2"/>
        <v>1</v>
      </c>
      <c r="I184" s="292" t="s">
        <v>2335</v>
      </c>
      <c r="J184" s="285" t="s">
        <v>15</v>
      </c>
      <c r="K184" s="280" t="s">
        <v>15</v>
      </c>
      <c r="L184" s="280" t="s">
        <v>27</v>
      </c>
      <c r="M184" s="280" t="s">
        <v>27</v>
      </c>
      <c r="N184" s="280" t="s">
        <v>15</v>
      </c>
    </row>
    <row r="185" spans="1:14">
      <c r="A185" s="280" t="s">
        <v>1287</v>
      </c>
      <c r="B185" s="280">
        <v>1</v>
      </c>
      <c r="C185" s="280" t="s">
        <v>1288</v>
      </c>
      <c r="D185" s="280" t="s">
        <v>1289</v>
      </c>
      <c r="E185" s="285" t="s">
        <v>35</v>
      </c>
      <c r="F185" s="284" t="s">
        <v>2823</v>
      </c>
      <c r="G185" s="292">
        <v>45294</v>
      </c>
      <c r="H185" s="293">
        <f t="shared" si="2"/>
        <v>1</v>
      </c>
      <c r="I185" s="292" t="s">
        <v>2335</v>
      </c>
      <c r="J185" s="285" t="s">
        <v>15</v>
      </c>
      <c r="K185" s="280" t="s">
        <v>1162</v>
      </c>
      <c r="L185" s="280" t="s">
        <v>27</v>
      </c>
      <c r="M185" s="280" t="s">
        <v>27</v>
      </c>
      <c r="N185" s="280" t="s">
        <v>15</v>
      </c>
    </row>
    <row r="186" spans="1:14">
      <c r="A186" s="280" t="s">
        <v>1287</v>
      </c>
      <c r="B186" s="280">
        <v>1</v>
      </c>
      <c r="C186" s="280" t="s">
        <v>1288</v>
      </c>
      <c r="D186" s="280" t="s">
        <v>1289</v>
      </c>
      <c r="E186" s="285" t="s">
        <v>35</v>
      </c>
      <c r="F186" s="284" t="s">
        <v>2824</v>
      </c>
      <c r="G186" s="292">
        <v>45341</v>
      </c>
      <c r="H186" s="293">
        <f t="shared" si="2"/>
        <v>1</v>
      </c>
      <c r="I186" s="292" t="s">
        <v>2335</v>
      </c>
      <c r="J186" s="285" t="s">
        <v>15</v>
      </c>
      <c r="K186" s="280" t="s">
        <v>78</v>
      </c>
      <c r="L186" s="280" t="s">
        <v>27</v>
      </c>
      <c r="M186" s="280" t="s">
        <v>27</v>
      </c>
      <c r="N186" s="280" t="s">
        <v>15</v>
      </c>
    </row>
    <row r="187" spans="1:14">
      <c r="A187" s="280" t="s">
        <v>1287</v>
      </c>
      <c r="B187" s="280">
        <v>1</v>
      </c>
      <c r="C187" s="280" t="s">
        <v>1288</v>
      </c>
      <c r="D187" s="280" t="s">
        <v>1289</v>
      </c>
      <c r="E187" s="285" t="s">
        <v>35</v>
      </c>
      <c r="F187" s="284" t="s">
        <v>2969</v>
      </c>
      <c r="G187" s="292"/>
      <c r="H187" s="293"/>
      <c r="I187" s="292"/>
      <c r="J187" s="285"/>
      <c r="K187" s="280" t="s">
        <v>2970</v>
      </c>
      <c r="L187" s="280" t="s">
        <v>27</v>
      </c>
      <c r="M187" s="280" t="s">
        <v>27</v>
      </c>
      <c r="N187" s="280"/>
    </row>
    <row r="188" spans="1:14">
      <c r="A188" s="280" t="s">
        <v>1287</v>
      </c>
      <c r="B188" s="280">
        <v>1</v>
      </c>
      <c r="C188" s="280" t="s">
        <v>1288</v>
      </c>
      <c r="D188" s="280" t="s">
        <v>1289</v>
      </c>
      <c r="E188" s="285" t="s">
        <v>35</v>
      </c>
      <c r="F188" s="284"/>
      <c r="G188" s="292">
        <v>46056</v>
      </c>
      <c r="H188" s="293"/>
      <c r="I188" s="292"/>
      <c r="J188" s="285"/>
      <c r="K188" s="280"/>
      <c r="L188" s="280"/>
      <c r="M188" s="280"/>
      <c r="N188" s="280"/>
    </row>
    <row r="189" spans="1:14">
      <c r="A189" s="280" t="s">
        <v>1287</v>
      </c>
      <c r="B189" s="280">
        <v>1</v>
      </c>
      <c r="C189" s="280" t="s">
        <v>1288</v>
      </c>
      <c r="D189" s="280" t="s">
        <v>1289</v>
      </c>
      <c r="E189" s="285" t="s">
        <v>35</v>
      </c>
      <c r="F189" s="284"/>
      <c r="G189" s="292">
        <v>46056</v>
      </c>
      <c r="H189" s="293"/>
      <c r="I189" s="292"/>
      <c r="J189" s="285"/>
      <c r="K189" s="280"/>
      <c r="L189" s="280"/>
      <c r="M189" s="280"/>
      <c r="N189" s="280"/>
    </row>
    <row r="190" spans="1:14">
      <c r="A190" s="280" t="s">
        <v>1287</v>
      </c>
      <c r="B190" s="280">
        <v>1</v>
      </c>
      <c r="C190" s="280" t="s">
        <v>1288</v>
      </c>
      <c r="D190" s="280" t="s">
        <v>1289</v>
      </c>
      <c r="E190" s="285" t="s">
        <v>35</v>
      </c>
      <c r="F190" s="284"/>
      <c r="G190" s="292">
        <v>46056</v>
      </c>
      <c r="H190" s="293"/>
      <c r="I190" s="292"/>
      <c r="J190" s="285"/>
      <c r="K190" s="280"/>
      <c r="L190" s="280"/>
      <c r="M190" s="280"/>
      <c r="N190" s="280"/>
    </row>
    <row r="191" spans="1:14">
      <c r="A191" s="280" t="s">
        <v>1287</v>
      </c>
      <c r="B191" s="280">
        <v>1</v>
      </c>
      <c r="C191" s="280" t="s">
        <v>1288</v>
      </c>
      <c r="D191" s="280" t="s">
        <v>1289</v>
      </c>
      <c r="E191" s="285" t="s">
        <v>35</v>
      </c>
      <c r="F191" s="284"/>
      <c r="G191" s="292">
        <v>46056</v>
      </c>
      <c r="H191" s="293"/>
      <c r="I191" s="292"/>
      <c r="J191" s="285"/>
      <c r="K191" s="280"/>
      <c r="L191" s="280"/>
      <c r="M191" s="280"/>
      <c r="N191" s="280"/>
    </row>
    <row r="192" spans="1:14">
      <c r="A192" s="280" t="s">
        <v>1287</v>
      </c>
      <c r="B192" s="280">
        <v>1</v>
      </c>
      <c r="C192" s="280" t="s">
        <v>1288</v>
      </c>
      <c r="D192" s="280" t="s">
        <v>1289</v>
      </c>
      <c r="E192" s="285" t="s">
        <v>35</v>
      </c>
      <c r="F192" s="284" t="s">
        <v>2825</v>
      </c>
      <c r="G192" s="292">
        <v>45341</v>
      </c>
      <c r="H192" s="293">
        <f t="shared" si="2"/>
        <v>1</v>
      </c>
      <c r="I192" s="292" t="s">
        <v>2335</v>
      </c>
      <c r="J192" s="285" t="s">
        <v>15</v>
      </c>
      <c r="K192" s="280" t="s">
        <v>2945</v>
      </c>
      <c r="L192" s="280" t="s">
        <v>27</v>
      </c>
      <c r="M192" s="280" t="s">
        <v>27</v>
      </c>
      <c r="N192" s="280" t="s">
        <v>15</v>
      </c>
    </row>
    <row r="193" spans="1:14">
      <c r="A193" s="315" t="s">
        <v>1594</v>
      </c>
      <c r="B193" s="316">
        <v>1</v>
      </c>
      <c r="C193" s="316" t="s">
        <v>1595</v>
      </c>
      <c r="D193" s="316">
        <v>62705</v>
      </c>
      <c r="E193" s="316" t="s">
        <v>1596</v>
      </c>
      <c r="F193" s="317" t="s">
        <v>2472</v>
      </c>
      <c r="G193" s="318">
        <v>43717</v>
      </c>
      <c r="H193" s="319">
        <f t="shared" si="2"/>
        <v>6</v>
      </c>
      <c r="I193" s="318" t="s">
        <v>1156</v>
      </c>
      <c r="J193" s="316" t="s">
        <v>15</v>
      </c>
      <c r="K193" s="316" t="s">
        <v>2181</v>
      </c>
      <c r="L193" s="316" t="s">
        <v>17</v>
      </c>
      <c r="M193" s="316" t="s">
        <v>27</v>
      </c>
      <c r="N193" s="316" t="s">
        <v>15</v>
      </c>
    </row>
    <row r="194" spans="1:14">
      <c r="A194" s="329" t="s">
        <v>1597</v>
      </c>
      <c r="B194" s="317">
        <v>1</v>
      </c>
      <c r="C194" s="317" t="s">
        <v>1067</v>
      </c>
      <c r="D194" s="317" t="s">
        <v>1598</v>
      </c>
      <c r="E194" s="317">
        <v>144932</v>
      </c>
      <c r="F194" s="317" t="s">
        <v>2473</v>
      </c>
      <c r="G194" s="320">
        <v>43728</v>
      </c>
      <c r="H194" s="321">
        <f t="shared" si="2"/>
        <v>6</v>
      </c>
      <c r="I194" s="320" t="s">
        <v>2336</v>
      </c>
      <c r="J194" s="317"/>
      <c r="K194" s="317" t="s">
        <v>2889</v>
      </c>
      <c r="L194" s="316" t="s">
        <v>17</v>
      </c>
      <c r="M194" s="317" t="s">
        <v>27</v>
      </c>
      <c r="N194" s="317" t="s">
        <v>15</v>
      </c>
    </row>
    <row r="195" spans="1:14">
      <c r="A195" s="315" t="s">
        <v>1599</v>
      </c>
      <c r="B195" s="316">
        <v>1</v>
      </c>
      <c r="C195" s="316" t="s">
        <v>1443</v>
      </c>
      <c r="D195" s="316" t="s">
        <v>1600</v>
      </c>
      <c r="E195" s="316">
        <v>93540719</v>
      </c>
      <c r="F195" s="317" t="s">
        <v>2474</v>
      </c>
      <c r="G195" s="318">
        <v>43717</v>
      </c>
      <c r="H195" s="319">
        <f t="shared" ref="H195:H248" si="3">ABS(YEAR(G195)-2025)</f>
        <v>6</v>
      </c>
      <c r="I195" s="318" t="s">
        <v>1156</v>
      </c>
      <c r="J195" s="316" t="s">
        <v>15</v>
      </c>
      <c r="K195" s="316" t="s">
        <v>1222</v>
      </c>
      <c r="L195" s="316" t="s">
        <v>17</v>
      </c>
      <c r="M195" s="316" t="s">
        <v>27</v>
      </c>
      <c r="N195" s="316" t="s">
        <v>15</v>
      </c>
    </row>
    <row r="196" spans="1:14">
      <c r="A196" s="315" t="s">
        <v>1601</v>
      </c>
      <c r="B196" s="316">
        <v>1</v>
      </c>
      <c r="C196" s="316" t="s">
        <v>1602</v>
      </c>
      <c r="D196" s="316" t="s">
        <v>1603</v>
      </c>
      <c r="E196" s="316" t="s">
        <v>1604</v>
      </c>
      <c r="F196" s="317" t="s">
        <v>2475</v>
      </c>
      <c r="G196" s="318">
        <v>43717</v>
      </c>
      <c r="H196" s="319">
        <f t="shared" si="3"/>
        <v>6</v>
      </c>
      <c r="I196" s="318" t="s">
        <v>1156</v>
      </c>
      <c r="J196" s="316" t="s">
        <v>15</v>
      </c>
      <c r="K196" s="316" t="s">
        <v>15</v>
      </c>
      <c r="L196" s="316" t="s">
        <v>17</v>
      </c>
      <c r="M196" s="316" t="s">
        <v>27</v>
      </c>
      <c r="N196" s="316" t="s">
        <v>15</v>
      </c>
    </row>
    <row r="197" spans="1:14">
      <c r="A197" s="233" t="s">
        <v>1605</v>
      </c>
      <c r="B197" s="234">
        <v>2</v>
      </c>
      <c r="C197" s="234" t="s">
        <v>1043</v>
      </c>
      <c r="D197" s="234">
        <v>352</v>
      </c>
      <c r="E197" s="234" t="s">
        <v>35</v>
      </c>
      <c r="F197" s="234" t="s">
        <v>35</v>
      </c>
      <c r="G197" s="235">
        <v>43717</v>
      </c>
      <c r="H197" s="268">
        <f t="shared" si="3"/>
        <v>6</v>
      </c>
      <c r="I197" s="237" t="s">
        <v>2335</v>
      </c>
      <c r="J197" s="234" t="s">
        <v>15</v>
      </c>
      <c r="K197" s="234" t="s">
        <v>15</v>
      </c>
      <c r="L197" s="234" t="s">
        <v>17</v>
      </c>
      <c r="M197" s="234" t="s">
        <v>27</v>
      </c>
      <c r="N197" s="234" t="s">
        <v>15</v>
      </c>
    </row>
    <row r="198" spans="1:14">
      <c r="A198" s="233" t="s">
        <v>1169</v>
      </c>
      <c r="B198" s="234">
        <v>9</v>
      </c>
      <c r="C198" s="234" t="s">
        <v>1526</v>
      </c>
      <c r="D198" s="234" t="s">
        <v>1606</v>
      </c>
      <c r="E198" s="234" t="s">
        <v>35</v>
      </c>
      <c r="F198" s="234" t="s">
        <v>35</v>
      </c>
      <c r="G198" s="235">
        <v>43717</v>
      </c>
      <c r="H198" s="268">
        <f t="shared" si="3"/>
        <v>6</v>
      </c>
      <c r="I198" s="237" t="s">
        <v>2335</v>
      </c>
      <c r="J198" s="234" t="s">
        <v>15</v>
      </c>
      <c r="K198" s="234" t="s">
        <v>15</v>
      </c>
      <c r="L198" s="234" t="s">
        <v>17</v>
      </c>
      <c r="M198" s="234" t="s">
        <v>27</v>
      </c>
      <c r="N198" s="234" t="s">
        <v>15</v>
      </c>
    </row>
    <row r="199" spans="1:14">
      <c r="A199" s="280" t="s">
        <v>1293</v>
      </c>
      <c r="B199" s="280">
        <v>1</v>
      </c>
      <c r="C199" s="280" t="s">
        <v>1288</v>
      </c>
      <c r="D199" s="280" t="s">
        <v>1294</v>
      </c>
      <c r="E199" s="280">
        <v>842356</v>
      </c>
      <c r="F199" s="280" t="s">
        <v>2477</v>
      </c>
      <c r="G199" s="281">
        <v>45096</v>
      </c>
      <c r="H199" s="282">
        <f t="shared" si="3"/>
        <v>2</v>
      </c>
      <c r="I199" s="281" t="s">
        <v>2335</v>
      </c>
      <c r="J199" s="280" t="s">
        <v>15</v>
      </c>
      <c r="K199" s="280" t="s">
        <v>102</v>
      </c>
      <c r="L199" s="280" t="s">
        <v>27</v>
      </c>
      <c r="M199" s="280" t="s">
        <v>27</v>
      </c>
      <c r="N199" s="280" t="s">
        <v>15</v>
      </c>
    </row>
    <row r="200" spans="1:14">
      <c r="A200" s="280" t="s">
        <v>1293</v>
      </c>
      <c r="B200" s="280">
        <v>1</v>
      </c>
      <c r="C200" s="280" t="s">
        <v>1608</v>
      </c>
      <c r="D200" s="280" t="s">
        <v>1609</v>
      </c>
      <c r="E200" s="280" t="s">
        <v>35</v>
      </c>
      <c r="F200" s="280" t="s">
        <v>2826</v>
      </c>
      <c r="G200" s="281">
        <v>43949</v>
      </c>
      <c r="H200" s="282">
        <f t="shared" si="3"/>
        <v>5</v>
      </c>
      <c r="I200" s="281" t="s">
        <v>2335</v>
      </c>
      <c r="J200" s="280" t="s">
        <v>15</v>
      </c>
      <c r="K200" s="280" t="s">
        <v>2944</v>
      </c>
      <c r="L200" s="280" t="s">
        <v>27</v>
      </c>
      <c r="M200" s="280" t="s">
        <v>27</v>
      </c>
      <c r="N200" s="280" t="s">
        <v>15</v>
      </c>
    </row>
    <row r="201" spans="1:14">
      <c r="A201" s="280" t="s">
        <v>1293</v>
      </c>
      <c r="B201" s="280">
        <v>1</v>
      </c>
      <c r="C201" s="280" t="s">
        <v>1288</v>
      </c>
      <c r="D201" s="280" t="s">
        <v>1294</v>
      </c>
      <c r="E201" s="280">
        <v>491380</v>
      </c>
      <c r="F201" s="280" t="s">
        <v>2493</v>
      </c>
      <c r="G201" s="281">
        <v>43971</v>
      </c>
      <c r="H201" s="282">
        <f t="shared" si="3"/>
        <v>5</v>
      </c>
      <c r="I201" s="281" t="s">
        <v>2335</v>
      </c>
      <c r="J201" s="280" t="s">
        <v>15</v>
      </c>
      <c r="K201" s="280" t="s">
        <v>78</v>
      </c>
      <c r="L201" s="280" t="s">
        <v>27</v>
      </c>
      <c r="M201" s="280" t="s">
        <v>27</v>
      </c>
      <c r="N201" s="280" t="s">
        <v>15</v>
      </c>
    </row>
    <row r="202" spans="1:14">
      <c r="A202" s="280" t="s">
        <v>1293</v>
      </c>
      <c r="B202" s="280">
        <v>1</v>
      </c>
      <c r="C202" s="280" t="s">
        <v>1608</v>
      </c>
      <c r="D202" s="280" t="s">
        <v>1609</v>
      </c>
      <c r="E202" s="280" t="s">
        <v>35</v>
      </c>
      <c r="F202" s="280" t="s">
        <v>2827</v>
      </c>
      <c r="G202" s="281">
        <v>43949</v>
      </c>
      <c r="H202" s="282">
        <f t="shared" si="3"/>
        <v>5</v>
      </c>
      <c r="I202" s="281" t="s">
        <v>2335</v>
      </c>
      <c r="J202" s="280" t="s">
        <v>15</v>
      </c>
      <c r="K202" s="280" t="s">
        <v>2944</v>
      </c>
      <c r="L202" s="280" t="s">
        <v>27</v>
      </c>
      <c r="M202" s="280" t="s">
        <v>27</v>
      </c>
      <c r="N202" s="280" t="s">
        <v>15</v>
      </c>
    </row>
    <row r="203" spans="1:14">
      <c r="A203" s="280" t="s">
        <v>1293</v>
      </c>
      <c r="B203" s="280">
        <v>1</v>
      </c>
      <c r="C203" s="280" t="s">
        <v>1608</v>
      </c>
      <c r="D203" s="280" t="s">
        <v>1609</v>
      </c>
      <c r="E203" s="280" t="s">
        <v>35</v>
      </c>
      <c r="F203" s="280" t="s">
        <v>2828</v>
      </c>
      <c r="G203" s="281">
        <v>43949</v>
      </c>
      <c r="H203" s="282">
        <f t="shared" si="3"/>
        <v>5</v>
      </c>
      <c r="I203" s="281" t="s">
        <v>2335</v>
      </c>
      <c r="J203" s="280" t="s">
        <v>15</v>
      </c>
      <c r="K203" s="280" t="s">
        <v>2944</v>
      </c>
      <c r="L203" s="280" t="s">
        <v>27</v>
      </c>
      <c r="M203" s="280" t="s">
        <v>27</v>
      </c>
      <c r="N203" s="280" t="s">
        <v>15</v>
      </c>
    </row>
    <row r="204" spans="1:14">
      <c r="A204" s="280" t="s">
        <v>1293</v>
      </c>
      <c r="B204" s="280">
        <v>1</v>
      </c>
      <c r="C204" s="280" t="s">
        <v>1610</v>
      </c>
      <c r="D204" s="280" t="s">
        <v>1609</v>
      </c>
      <c r="E204" s="280">
        <v>22001</v>
      </c>
      <c r="F204" s="280" t="s">
        <v>2478</v>
      </c>
      <c r="G204" s="281">
        <v>43858</v>
      </c>
      <c r="H204" s="282">
        <f t="shared" si="3"/>
        <v>5</v>
      </c>
      <c r="I204" s="281" t="s">
        <v>2335</v>
      </c>
      <c r="J204" s="280" t="s">
        <v>15</v>
      </c>
      <c r="K204" s="280" t="s">
        <v>2902</v>
      </c>
      <c r="L204" s="280" t="s">
        <v>27</v>
      </c>
      <c r="M204" s="280" t="s">
        <v>27</v>
      </c>
      <c r="N204" s="280" t="s">
        <v>15</v>
      </c>
    </row>
    <row r="205" spans="1:14">
      <c r="A205" s="280" t="s">
        <v>1293</v>
      </c>
      <c r="B205" s="280">
        <v>1</v>
      </c>
      <c r="C205" s="280" t="s">
        <v>1610</v>
      </c>
      <c r="D205" s="280" t="s">
        <v>1609</v>
      </c>
      <c r="E205" s="280">
        <v>22002</v>
      </c>
      <c r="F205" s="280" t="s">
        <v>2479</v>
      </c>
      <c r="G205" s="281">
        <v>43858</v>
      </c>
      <c r="H205" s="282">
        <f t="shared" si="3"/>
        <v>5</v>
      </c>
      <c r="I205" s="281" t="s">
        <v>2335</v>
      </c>
      <c r="J205" s="280" t="s">
        <v>15</v>
      </c>
      <c r="K205" s="280" t="s">
        <v>2902</v>
      </c>
      <c r="L205" s="280" t="s">
        <v>27</v>
      </c>
      <c r="M205" s="280" t="s">
        <v>27</v>
      </c>
      <c r="N205" s="280" t="s">
        <v>15</v>
      </c>
    </row>
    <row r="206" spans="1:14">
      <c r="A206" s="280" t="s">
        <v>1293</v>
      </c>
      <c r="B206" s="280">
        <v>1</v>
      </c>
      <c r="C206" s="280" t="s">
        <v>1610</v>
      </c>
      <c r="D206" s="280" t="s">
        <v>1611</v>
      </c>
      <c r="E206" s="280">
        <v>22085</v>
      </c>
      <c r="F206" s="280" t="s">
        <v>2480</v>
      </c>
      <c r="G206" s="281">
        <v>43858</v>
      </c>
      <c r="H206" s="282">
        <f t="shared" si="3"/>
        <v>5</v>
      </c>
      <c r="I206" s="281" t="s">
        <v>2335</v>
      </c>
      <c r="J206" s="280" t="s">
        <v>15</v>
      </c>
      <c r="K206" s="280" t="s">
        <v>2902</v>
      </c>
      <c r="L206" s="280" t="s">
        <v>27</v>
      </c>
      <c r="M206" s="280" t="s">
        <v>27</v>
      </c>
      <c r="N206" s="280" t="s">
        <v>15</v>
      </c>
    </row>
    <row r="207" spans="1:14">
      <c r="A207" s="280" t="s">
        <v>1293</v>
      </c>
      <c r="B207" s="280">
        <v>1</v>
      </c>
      <c r="C207" s="280" t="s">
        <v>1610</v>
      </c>
      <c r="D207" s="280" t="s">
        <v>1611</v>
      </c>
      <c r="E207" s="280">
        <v>22087</v>
      </c>
      <c r="F207" s="280" t="s">
        <v>2481</v>
      </c>
      <c r="G207" s="281">
        <v>43858</v>
      </c>
      <c r="H207" s="282">
        <f t="shared" si="3"/>
        <v>5</v>
      </c>
      <c r="I207" s="281" t="s">
        <v>2335</v>
      </c>
      <c r="J207" s="280" t="s">
        <v>15</v>
      </c>
      <c r="K207" s="280" t="s">
        <v>2902</v>
      </c>
      <c r="L207" s="280" t="s">
        <v>27</v>
      </c>
      <c r="M207" s="280" t="s">
        <v>27</v>
      </c>
      <c r="N207" s="280" t="s">
        <v>15</v>
      </c>
    </row>
    <row r="208" spans="1:14">
      <c r="A208" s="280" t="s">
        <v>1293</v>
      </c>
      <c r="B208" s="280">
        <v>1</v>
      </c>
      <c r="C208" s="280" t="s">
        <v>1610</v>
      </c>
      <c r="D208" s="280" t="s">
        <v>1611</v>
      </c>
      <c r="E208" s="280">
        <v>22066</v>
      </c>
      <c r="F208" s="280" t="s">
        <v>2482</v>
      </c>
      <c r="G208" s="281">
        <v>43858</v>
      </c>
      <c r="H208" s="282">
        <f t="shared" si="3"/>
        <v>5</v>
      </c>
      <c r="I208" s="281" t="s">
        <v>2335</v>
      </c>
      <c r="J208" s="280" t="s">
        <v>15</v>
      </c>
      <c r="K208" s="280" t="s">
        <v>2887</v>
      </c>
      <c r="L208" s="280" t="s">
        <v>27</v>
      </c>
      <c r="M208" s="280" t="s">
        <v>27</v>
      </c>
      <c r="N208" s="280" t="s">
        <v>15</v>
      </c>
    </row>
    <row r="209" spans="1:14">
      <c r="A209" s="280" t="s">
        <v>1293</v>
      </c>
      <c r="B209" s="280">
        <v>1</v>
      </c>
      <c r="C209" s="280" t="s">
        <v>1610</v>
      </c>
      <c r="D209" s="280" t="s">
        <v>1611</v>
      </c>
      <c r="E209" s="280">
        <v>22086</v>
      </c>
      <c r="F209" s="280" t="s">
        <v>2483</v>
      </c>
      <c r="G209" s="281">
        <v>43858</v>
      </c>
      <c r="H209" s="282">
        <f t="shared" si="3"/>
        <v>5</v>
      </c>
      <c r="I209" s="281" t="s">
        <v>2335</v>
      </c>
      <c r="J209" s="280" t="s">
        <v>15</v>
      </c>
      <c r="K209" s="280" t="s">
        <v>2945</v>
      </c>
      <c r="L209" s="280" t="s">
        <v>27</v>
      </c>
      <c r="M209" s="280" t="s">
        <v>27</v>
      </c>
      <c r="N209" s="280" t="s">
        <v>15</v>
      </c>
    </row>
    <row r="210" spans="1:14">
      <c r="A210" s="280" t="s">
        <v>1293</v>
      </c>
      <c r="B210" s="280">
        <v>1</v>
      </c>
      <c r="C210" s="280" t="s">
        <v>1610</v>
      </c>
      <c r="D210" s="280" t="s">
        <v>1609</v>
      </c>
      <c r="E210" s="280">
        <v>22011</v>
      </c>
      <c r="F210" s="280" t="s">
        <v>2484</v>
      </c>
      <c r="G210" s="281">
        <v>43858</v>
      </c>
      <c r="H210" s="282">
        <f t="shared" si="3"/>
        <v>5</v>
      </c>
      <c r="I210" s="281" t="s">
        <v>2335</v>
      </c>
      <c r="J210" s="280" t="s">
        <v>15</v>
      </c>
      <c r="K210" s="280" t="s">
        <v>2933</v>
      </c>
      <c r="L210" s="280" t="s">
        <v>27</v>
      </c>
      <c r="M210" s="280" t="s">
        <v>27</v>
      </c>
      <c r="N210" s="280" t="s">
        <v>15</v>
      </c>
    </row>
    <row r="211" spans="1:14">
      <c r="A211" s="280" t="s">
        <v>1293</v>
      </c>
      <c r="B211" s="280">
        <v>1</v>
      </c>
      <c r="C211" s="280" t="s">
        <v>1610</v>
      </c>
      <c r="D211" s="280" t="s">
        <v>1609</v>
      </c>
      <c r="E211" s="280">
        <v>22004</v>
      </c>
      <c r="F211" s="280" t="s">
        <v>2485</v>
      </c>
      <c r="G211" s="281">
        <v>43858</v>
      </c>
      <c r="H211" s="282">
        <f t="shared" si="3"/>
        <v>5</v>
      </c>
      <c r="I211" s="281" t="s">
        <v>2335</v>
      </c>
      <c r="J211" s="280" t="s">
        <v>15</v>
      </c>
      <c r="K211" s="280" t="s">
        <v>2933</v>
      </c>
      <c r="L211" s="280" t="s">
        <v>27</v>
      </c>
      <c r="M211" s="280" t="s">
        <v>27</v>
      </c>
      <c r="N211" s="280" t="s">
        <v>15</v>
      </c>
    </row>
    <row r="212" spans="1:14">
      <c r="A212" s="280" t="s">
        <v>1293</v>
      </c>
      <c r="B212" s="280">
        <v>1</v>
      </c>
      <c r="C212" s="280" t="s">
        <v>1610</v>
      </c>
      <c r="D212" s="280" t="s">
        <v>1609</v>
      </c>
      <c r="E212" s="280">
        <v>22006</v>
      </c>
      <c r="F212" s="280" t="s">
        <v>2486</v>
      </c>
      <c r="G212" s="281">
        <v>43858</v>
      </c>
      <c r="H212" s="282">
        <f t="shared" si="3"/>
        <v>5</v>
      </c>
      <c r="I212" s="281" t="s">
        <v>2335</v>
      </c>
      <c r="J212" s="280" t="s">
        <v>15</v>
      </c>
      <c r="K212" s="280" t="s">
        <v>2933</v>
      </c>
      <c r="L212" s="280" t="s">
        <v>27</v>
      </c>
      <c r="M212" s="280" t="s">
        <v>27</v>
      </c>
      <c r="N212" s="280" t="s">
        <v>15</v>
      </c>
    </row>
    <row r="213" spans="1:14">
      <c r="A213" s="280" t="s">
        <v>1293</v>
      </c>
      <c r="B213" s="280">
        <v>1</v>
      </c>
      <c r="C213" s="280" t="s">
        <v>1610</v>
      </c>
      <c r="D213" s="280" t="s">
        <v>1611</v>
      </c>
      <c r="E213" s="280">
        <v>22090</v>
      </c>
      <c r="F213" s="280" t="s">
        <v>2487</v>
      </c>
      <c r="G213" s="281">
        <v>43858</v>
      </c>
      <c r="H213" s="282">
        <f t="shared" si="3"/>
        <v>5</v>
      </c>
      <c r="I213" s="281" t="s">
        <v>2335</v>
      </c>
      <c r="J213" s="280" t="s">
        <v>15</v>
      </c>
      <c r="K213" s="280" t="s">
        <v>2945</v>
      </c>
      <c r="L213" s="280" t="s">
        <v>27</v>
      </c>
      <c r="M213" s="280" t="s">
        <v>27</v>
      </c>
      <c r="N213" s="280" t="s">
        <v>15</v>
      </c>
    </row>
    <row r="214" spans="1:14">
      <c r="A214" s="280" t="s">
        <v>1293</v>
      </c>
      <c r="B214" s="280">
        <v>1</v>
      </c>
      <c r="C214" s="280" t="s">
        <v>1610</v>
      </c>
      <c r="D214" s="280" t="s">
        <v>1611</v>
      </c>
      <c r="E214" s="280">
        <v>22065</v>
      </c>
      <c r="F214" s="280" t="s">
        <v>2488</v>
      </c>
      <c r="G214" s="281">
        <v>43858</v>
      </c>
      <c r="H214" s="282">
        <f t="shared" si="3"/>
        <v>5</v>
      </c>
      <c r="I214" s="281" t="s">
        <v>2335</v>
      </c>
      <c r="J214" s="280" t="s">
        <v>15</v>
      </c>
      <c r="K214" s="280" t="s">
        <v>2945</v>
      </c>
      <c r="L214" s="280" t="s">
        <v>27</v>
      </c>
      <c r="M214" s="280" t="s">
        <v>27</v>
      </c>
      <c r="N214" s="280" t="s">
        <v>15</v>
      </c>
    </row>
    <row r="215" spans="1:14">
      <c r="A215" s="280" t="s">
        <v>1293</v>
      </c>
      <c r="B215" s="280">
        <v>1</v>
      </c>
      <c r="C215" s="280" t="s">
        <v>1608</v>
      </c>
      <c r="D215" s="280" t="s">
        <v>1609</v>
      </c>
      <c r="E215" s="280" t="s">
        <v>35</v>
      </c>
      <c r="F215" s="280" t="s">
        <v>2829</v>
      </c>
      <c r="G215" s="281">
        <v>43949</v>
      </c>
      <c r="H215" s="282">
        <f t="shared" si="3"/>
        <v>5</v>
      </c>
      <c r="I215" s="281" t="s">
        <v>2335</v>
      </c>
      <c r="J215" s="280" t="s">
        <v>15</v>
      </c>
      <c r="K215" s="280" t="s">
        <v>1823</v>
      </c>
      <c r="L215" s="280" t="s">
        <v>27</v>
      </c>
      <c r="M215" s="280" t="s">
        <v>27</v>
      </c>
      <c r="N215" s="280" t="s">
        <v>15</v>
      </c>
    </row>
    <row r="216" spans="1:14">
      <c r="A216" s="280" t="s">
        <v>1293</v>
      </c>
      <c r="B216" s="280">
        <v>1</v>
      </c>
      <c r="C216" s="280" t="s">
        <v>1608</v>
      </c>
      <c r="D216" s="280" t="s">
        <v>1609</v>
      </c>
      <c r="E216" s="280" t="s">
        <v>35</v>
      </c>
      <c r="F216" s="280" t="s">
        <v>2830</v>
      </c>
      <c r="G216" s="281">
        <v>43949</v>
      </c>
      <c r="H216" s="282">
        <f t="shared" si="3"/>
        <v>5</v>
      </c>
      <c r="I216" s="281" t="s">
        <v>2335</v>
      </c>
      <c r="J216" s="280" t="s">
        <v>15</v>
      </c>
      <c r="K216" s="280" t="s">
        <v>1823</v>
      </c>
      <c r="L216" s="280" t="s">
        <v>27</v>
      </c>
      <c r="M216" s="280" t="s">
        <v>27</v>
      </c>
      <c r="N216" s="280" t="s">
        <v>15</v>
      </c>
    </row>
    <row r="217" spans="1:14">
      <c r="A217" s="280" t="s">
        <v>1293</v>
      </c>
      <c r="B217" s="280">
        <v>1</v>
      </c>
      <c r="C217" s="280" t="s">
        <v>1608</v>
      </c>
      <c r="D217" s="280" t="s">
        <v>1609</v>
      </c>
      <c r="E217" s="280" t="s">
        <v>35</v>
      </c>
      <c r="F217" s="280" t="s">
        <v>2831</v>
      </c>
      <c r="G217" s="281">
        <v>43949</v>
      </c>
      <c r="H217" s="282">
        <f t="shared" si="3"/>
        <v>5</v>
      </c>
      <c r="I217" s="281" t="s">
        <v>2335</v>
      </c>
      <c r="J217" s="280" t="s">
        <v>15</v>
      </c>
      <c r="K217" s="280" t="s">
        <v>1823</v>
      </c>
      <c r="L217" s="280" t="s">
        <v>27</v>
      </c>
      <c r="M217" s="280" t="s">
        <v>27</v>
      </c>
      <c r="N217" s="280" t="s">
        <v>15</v>
      </c>
    </row>
    <row r="218" spans="1:14">
      <c r="A218" s="280" t="s">
        <v>1293</v>
      </c>
      <c r="B218" s="280">
        <v>1</v>
      </c>
      <c r="C218" s="280" t="s">
        <v>1608</v>
      </c>
      <c r="D218" s="280" t="s">
        <v>1609</v>
      </c>
      <c r="E218" s="280" t="s">
        <v>35</v>
      </c>
      <c r="F218" s="280" t="s">
        <v>2832</v>
      </c>
      <c r="G218" s="281">
        <v>43949</v>
      </c>
      <c r="H218" s="282">
        <f t="shared" si="3"/>
        <v>5</v>
      </c>
      <c r="I218" s="281" t="s">
        <v>2335</v>
      </c>
      <c r="J218" s="280" t="s">
        <v>15</v>
      </c>
      <c r="K218" s="280" t="s">
        <v>1823</v>
      </c>
      <c r="L218" s="280" t="s">
        <v>27</v>
      </c>
      <c r="M218" s="280" t="s">
        <v>27</v>
      </c>
      <c r="N218" s="280" t="s">
        <v>15</v>
      </c>
    </row>
    <row r="219" spans="1:14">
      <c r="A219" s="280" t="s">
        <v>1293</v>
      </c>
      <c r="B219" s="280">
        <v>1</v>
      </c>
      <c r="C219" s="280" t="s">
        <v>1610</v>
      </c>
      <c r="D219" s="280" t="s">
        <v>1609</v>
      </c>
      <c r="E219" s="280">
        <v>22003</v>
      </c>
      <c r="F219" s="280" t="s">
        <v>2489</v>
      </c>
      <c r="G219" s="281">
        <v>43858</v>
      </c>
      <c r="H219" s="282">
        <f t="shared" si="3"/>
        <v>5</v>
      </c>
      <c r="I219" s="281" t="s">
        <v>2335</v>
      </c>
      <c r="J219" s="280" t="s">
        <v>15</v>
      </c>
      <c r="K219" s="280" t="s">
        <v>2933</v>
      </c>
      <c r="L219" s="280" t="s">
        <v>27</v>
      </c>
      <c r="M219" s="280" t="s">
        <v>27</v>
      </c>
      <c r="N219" s="280" t="s">
        <v>15</v>
      </c>
    </row>
    <row r="220" spans="1:14">
      <c r="A220" s="280" t="s">
        <v>1293</v>
      </c>
      <c r="B220" s="280">
        <v>1</v>
      </c>
      <c r="C220" s="280" t="s">
        <v>1610</v>
      </c>
      <c r="D220" s="280" t="s">
        <v>1609</v>
      </c>
      <c r="E220" s="280">
        <v>22010</v>
      </c>
      <c r="F220" s="280" t="s">
        <v>2490</v>
      </c>
      <c r="G220" s="281">
        <v>43858</v>
      </c>
      <c r="H220" s="282">
        <f t="shared" si="3"/>
        <v>5</v>
      </c>
      <c r="I220" s="281" t="s">
        <v>2335</v>
      </c>
      <c r="J220" s="280" t="s">
        <v>15</v>
      </c>
      <c r="K220" s="280" t="s">
        <v>2945</v>
      </c>
      <c r="L220" s="280" t="s">
        <v>27</v>
      </c>
      <c r="M220" s="280" t="s">
        <v>27</v>
      </c>
      <c r="N220" s="280" t="s">
        <v>15</v>
      </c>
    </row>
    <row r="221" spans="1:14">
      <c r="A221" s="280" t="s">
        <v>1293</v>
      </c>
      <c r="B221" s="280">
        <v>1</v>
      </c>
      <c r="C221" s="280" t="s">
        <v>1610</v>
      </c>
      <c r="D221" s="280" t="s">
        <v>1611</v>
      </c>
      <c r="E221" s="280">
        <v>22064</v>
      </c>
      <c r="F221" s="280" t="s">
        <v>2491</v>
      </c>
      <c r="G221" s="281">
        <v>43858</v>
      </c>
      <c r="H221" s="282">
        <f t="shared" si="3"/>
        <v>5</v>
      </c>
      <c r="I221" s="281" t="s">
        <v>2335</v>
      </c>
      <c r="J221" s="280" t="s">
        <v>15</v>
      </c>
      <c r="K221" s="280" t="s">
        <v>2945</v>
      </c>
      <c r="L221" s="280" t="s">
        <v>27</v>
      </c>
      <c r="M221" s="280" t="s">
        <v>27</v>
      </c>
      <c r="N221" s="280" t="s">
        <v>15</v>
      </c>
    </row>
    <row r="222" spans="1:14">
      <c r="A222" s="280" t="s">
        <v>1293</v>
      </c>
      <c r="B222" s="280">
        <v>1</v>
      </c>
      <c r="C222" s="280" t="s">
        <v>1610</v>
      </c>
      <c r="D222" s="280" t="s">
        <v>1609</v>
      </c>
      <c r="E222" s="280">
        <v>22012</v>
      </c>
      <c r="F222" s="280" t="s">
        <v>2492</v>
      </c>
      <c r="G222" s="281">
        <v>43858</v>
      </c>
      <c r="H222" s="282">
        <f t="shared" si="3"/>
        <v>5</v>
      </c>
      <c r="I222" s="281" t="s">
        <v>2335</v>
      </c>
      <c r="J222" s="280" t="s">
        <v>15</v>
      </c>
      <c r="K222" s="280" t="s">
        <v>2933</v>
      </c>
      <c r="L222" s="280" t="s">
        <v>27</v>
      </c>
      <c r="M222" s="280" t="s">
        <v>27</v>
      </c>
      <c r="N222" s="280" t="s">
        <v>15</v>
      </c>
    </row>
    <row r="223" spans="1:14">
      <c r="A223" s="280" t="s">
        <v>1293</v>
      </c>
      <c r="B223" s="280">
        <v>1</v>
      </c>
      <c r="C223" s="280" t="s">
        <v>1288</v>
      </c>
      <c r="D223" s="280" t="s">
        <v>1294</v>
      </c>
      <c r="E223" s="280">
        <v>509302</v>
      </c>
      <c r="F223" s="280" t="s">
        <v>2476</v>
      </c>
      <c r="G223" s="281">
        <v>43971</v>
      </c>
      <c r="H223" s="282">
        <f t="shared" si="3"/>
        <v>5</v>
      </c>
      <c r="I223" s="281" t="s">
        <v>2335</v>
      </c>
      <c r="J223" s="280" t="s">
        <v>15</v>
      </c>
      <c r="K223" s="280" t="s">
        <v>1162</v>
      </c>
      <c r="L223" s="280" t="s">
        <v>27</v>
      </c>
      <c r="M223" s="280" t="s">
        <v>27</v>
      </c>
      <c r="N223" s="280" t="s">
        <v>15</v>
      </c>
    </row>
    <row r="224" spans="1:14">
      <c r="A224" s="280" t="s">
        <v>1293</v>
      </c>
      <c r="B224" s="280">
        <v>1</v>
      </c>
      <c r="C224" s="280" t="s">
        <v>1288</v>
      </c>
      <c r="D224" s="280" t="s">
        <v>1294</v>
      </c>
      <c r="E224" s="280">
        <v>491385</v>
      </c>
      <c r="F224" s="280" t="s">
        <v>2496</v>
      </c>
      <c r="G224" s="281">
        <v>43971</v>
      </c>
      <c r="H224" s="282">
        <f t="shared" si="3"/>
        <v>5</v>
      </c>
      <c r="I224" s="281" t="s">
        <v>2335</v>
      </c>
      <c r="J224" s="280" t="s">
        <v>15</v>
      </c>
      <c r="K224" s="280" t="s">
        <v>78</v>
      </c>
      <c r="L224" s="280" t="s">
        <v>27</v>
      </c>
      <c r="M224" s="280" t="s">
        <v>27</v>
      </c>
      <c r="N224" s="280" t="s">
        <v>15</v>
      </c>
    </row>
    <row r="225" spans="1:14">
      <c r="A225" s="280" t="s">
        <v>1293</v>
      </c>
      <c r="B225" s="280">
        <v>1</v>
      </c>
      <c r="C225" s="280" t="s">
        <v>1288</v>
      </c>
      <c r="D225" s="280" t="s">
        <v>1294</v>
      </c>
      <c r="E225" s="280">
        <v>491377</v>
      </c>
      <c r="F225" s="280" t="s">
        <v>2494</v>
      </c>
      <c r="G225" s="281">
        <v>43971</v>
      </c>
      <c r="H225" s="282">
        <f t="shared" si="3"/>
        <v>5</v>
      </c>
      <c r="I225" s="281" t="s">
        <v>2335</v>
      </c>
      <c r="J225" s="280" t="s">
        <v>15</v>
      </c>
      <c r="K225" s="280" t="s">
        <v>78</v>
      </c>
      <c r="L225" s="280" t="s">
        <v>27</v>
      </c>
      <c r="M225" s="280" t="s">
        <v>27</v>
      </c>
      <c r="N225" s="280" t="s">
        <v>15</v>
      </c>
    </row>
    <row r="226" spans="1:14">
      <c r="A226" s="280" t="s">
        <v>1293</v>
      </c>
      <c r="B226" s="280">
        <v>1</v>
      </c>
      <c r="C226" s="280" t="s">
        <v>1288</v>
      </c>
      <c r="D226" s="280" t="s">
        <v>1294</v>
      </c>
      <c r="E226" s="280">
        <v>503347</v>
      </c>
      <c r="F226" s="280" t="s">
        <v>2497</v>
      </c>
      <c r="G226" s="281">
        <v>43971</v>
      </c>
      <c r="H226" s="282">
        <f t="shared" si="3"/>
        <v>5</v>
      </c>
      <c r="I226" s="281" t="s">
        <v>2335</v>
      </c>
      <c r="J226" s="280" t="s">
        <v>15</v>
      </c>
      <c r="K226" s="280" t="s">
        <v>78</v>
      </c>
      <c r="L226" s="280" t="s">
        <v>27</v>
      </c>
      <c r="M226" s="280" t="s">
        <v>27</v>
      </c>
      <c r="N226" s="280" t="s">
        <v>15</v>
      </c>
    </row>
    <row r="227" spans="1:14">
      <c r="A227" s="280" t="s">
        <v>1293</v>
      </c>
      <c r="B227" s="280">
        <v>1</v>
      </c>
      <c r="C227" s="280" t="s">
        <v>1288</v>
      </c>
      <c r="D227" s="280" t="s">
        <v>1294</v>
      </c>
      <c r="E227" s="280">
        <v>503346</v>
      </c>
      <c r="F227" s="280" t="s">
        <v>2495</v>
      </c>
      <c r="G227" s="281">
        <v>43971</v>
      </c>
      <c r="H227" s="282">
        <f t="shared" si="3"/>
        <v>5</v>
      </c>
      <c r="I227" s="281" t="s">
        <v>2335</v>
      </c>
      <c r="J227" s="280" t="s">
        <v>15</v>
      </c>
      <c r="K227" s="280" t="s">
        <v>78</v>
      </c>
      <c r="L227" s="280" t="s">
        <v>27</v>
      </c>
      <c r="M227" s="280" t="s">
        <v>27</v>
      </c>
      <c r="N227" s="280" t="s">
        <v>15</v>
      </c>
    </row>
    <row r="228" spans="1:14">
      <c r="A228" s="317" t="s">
        <v>1607</v>
      </c>
      <c r="B228" s="317">
        <v>1</v>
      </c>
      <c r="C228" s="317" t="s">
        <v>35</v>
      </c>
      <c r="D228" s="317" t="s">
        <v>1609</v>
      </c>
      <c r="E228" s="317" t="s">
        <v>35</v>
      </c>
      <c r="F228" s="317" t="s">
        <v>2833</v>
      </c>
      <c r="G228" s="320">
        <v>43728</v>
      </c>
      <c r="H228" s="321">
        <f t="shared" si="3"/>
        <v>6</v>
      </c>
      <c r="I228" s="320" t="s">
        <v>2336</v>
      </c>
      <c r="J228" s="317" t="s">
        <v>15</v>
      </c>
      <c r="K228" s="317" t="s">
        <v>2986</v>
      </c>
      <c r="L228" s="317" t="s">
        <v>27</v>
      </c>
      <c r="M228" s="317" t="s">
        <v>27</v>
      </c>
      <c r="N228" s="317" t="s">
        <v>15</v>
      </c>
    </row>
    <row r="229" spans="1:14">
      <c r="A229" s="317" t="s">
        <v>1607</v>
      </c>
      <c r="B229" s="317">
        <v>1</v>
      </c>
      <c r="C229" s="317" t="s">
        <v>35</v>
      </c>
      <c r="D229" s="317" t="s">
        <v>1609</v>
      </c>
      <c r="E229" s="317" t="s">
        <v>35</v>
      </c>
      <c r="F229" s="317" t="s">
        <v>2834</v>
      </c>
      <c r="G229" s="320">
        <v>43728</v>
      </c>
      <c r="H229" s="321">
        <f t="shared" si="3"/>
        <v>6</v>
      </c>
      <c r="I229" s="320" t="s">
        <v>2336</v>
      </c>
      <c r="J229" s="317" t="s">
        <v>15</v>
      </c>
      <c r="K229" s="317" t="s">
        <v>2986</v>
      </c>
      <c r="L229" s="317" t="s">
        <v>27</v>
      </c>
      <c r="M229" s="317" t="s">
        <v>27</v>
      </c>
      <c r="N229" s="317" t="s">
        <v>15</v>
      </c>
    </row>
    <row r="230" spans="1:14">
      <c r="A230" s="317" t="s">
        <v>1607</v>
      </c>
      <c r="B230" s="317">
        <v>1</v>
      </c>
      <c r="C230" s="317" t="s">
        <v>35</v>
      </c>
      <c r="D230" s="317" t="s">
        <v>1611</v>
      </c>
      <c r="E230" s="317" t="s">
        <v>35</v>
      </c>
      <c r="F230" s="317" t="s">
        <v>2835</v>
      </c>
      <c r="G230" s="320">
        <v>43728</v>
      </c>
      <c r="H230" s="321">
        <f t="shared" si="3"/>
        <v>6</v>
      </c>
      <c r="I230" s="320" t="s">
        <v>2336</v>
      </c>
      <c r="J230" s="317" t="s">
        <v>15</v>
      </c>
      <c r="K230" s="317" t="s">
        <v>2986</v>
      </c>
      <c r="L230" s="317" t="s">
        <v>27</v>
      </c>
      <c r="M230" s="317" t="s">
        <v>27</v>
      </c>
      <c r="N230" s="317" t="s">
        <v>15</v>
      </c>
    </row>
    <row r="231" spans="1:14">
      <c r="A231" s="317" t="s">
        <v>1607</v>
      </c>
      <c r="B231" s="317">
        <v>1</v>
      </c>
      <c r="C231" s="317" t="s">
        <v>35</v>
      </c>
      <c r="D231" s="317" t="s">
        <v>1609</v>
      </c>
      <c r="E231" s="317" t="s">
        <v>35</v>
      </c>
      <c r="F231" s="317" t="s">
        <v>2836</v>
      </c>
      <c r="G231" s="320">
        <v>43728</v>
      </c>
      <c r="H231" s="321">
        <f t="shared" si="3"/>
        <v>6</v>
      </c>
      <c r="I231" s="320" t="s">
        <v>2336</v>
      </c>
      <c r="J231" s="317" t="s">
        <v>15</v>
      </c>
      <c r="K231" s="317" t="s">
        <v>2986</v>
      </c>
      <c r="L231" s="317" t="s">
        <v>27</v>
      </c>
      <c r="M231" s="317" t="s">
        <v>27</v>
      </c>
      <c r="N231" s="317" t="s">
        <v>15</v>
      </c>
    </row>
    <row r="232" spans="1:14">
      <c r="A232" s="280" t="s">
        <v>130</v>
      </c>
      <c r="B232" s="280">
        <v>1</v>
      </c>
      <c r="C232" s="280" t="s">
        <v>131</v>
      </c>
      <c r="D232" s="280" t="s">
        <v>132</v>
      </c>
      <c r="E232" s="285">
        <v>8.00000657802E+16</v>
      </c>
      <c r="F232" s="280" t="s">
        <v>2837</v>
      </c>
      <c r="G232" s="281">
        <v>45574</v>
      </c>
      <c r="H232" s="282">
        <f t="shared" si="3"/>
        <v>1</v>
      </c>
      <c r="I232" s="281" t="s">
        <v>2335</v>
      </c>
      <c r="J232" s="280" t="s">
        <v>15</v>
      </c>
      <c r="K232" s="281" t="s">
        <v>78</v>
      </c>
      <c r="L232" s="280" t="s">
        <v>27</v>
      </c>
      <c r="M232" s="280" t="s">
        <v>27</v>
      </c>
      <c r="N232" s="280" t="s">
        <v>15</v>
      </c>
    </row>
    <row r="233" spans="1:14">
      <c r="A233" s="280" t="s">
        <v>130</v>
      </c>
      <c r="B233" s="280">
        <v>1</v>
      </c>
      <c r="C233" s="280" t="s">
        <v>131</v>
      </c>
      <c r="D233" s="280" t="s">
        <v>132</v>
      </c>
      <c r="E233" s="285">
        <v>8.00000657802E+16</v>
      </c>
      <c r="F233" s="280" t="s">
        <v>2838</v>
      </c>
      <c r="G233" s="281">
        <v>45574</v>
      </c>
      <c r="H233" s="282">
        <f t="shared" si="3"/>
        <v>1</v>
      </c>
      <c r="I233" s="281" t="s">
        <v>2335</v>
      </c>
      <c r="J233" s="280" t="s">
        <v>15</v>
      </c>
      <c r="K233" s="281" t="s">
        <v>78</v>
      </c>
      <c r="L233" s="280" t="s">
        <v>27</v>
      </c>
      <c r="M233" s="280" t="s">
        <v>27</v>
      </c>
      <c r="N233" s="280" t="s">
        <v>15</v>
      </c>
    </row>
    <row r="234" spans="1:14">
      <c r="A234" s="317" t="s">
        <v>1612</v>
      </c>
      <c r="B234" s="317">
        <v>1</v>
      </c>
      <c r="C234" s="317" t="s">
        <v>1613</v>
      </c>
      <c r="D234" s="317" t="s">
        <v>1614</v>
      </c>
      <c r="E234" s="317">
        <v>37243</v>
      </c>
      <c r="F234" s="317" t="s">
        <v>2498</v>
      </c>
      <c r="G234" s="320">
        <v>43728</v>
      </c>
      <c r="H234" s="321">
        <f t="shared" si="3"/>
        <v>6</v>
      </c>
      <c r="I234" s="320" t="s">
        <v>2336</v>
      </c>
      <c r="J234" s="317" t="s">
        <v>15</v>
      </c>
      <c r="K234" s="317" t="s">
        <v>2902</v>
      </c>
      <c r="L234" s="317" t="s">
        <v>27</v>
      </c>
      <c r="M234" s="317" t="s">
        <v>27</v>
      </c>
      <c r="N234" s="317" t="s">
        <v>15</v>
      </c>
    </row>
    <row r="235" spans="1:14">
      <c r="A235" s="317" t="s">
        <v>1612</v>
      </c>
      <c r="B235" s="317">
        <v>1</v>
      </c>
      <c r="C235" s="317" t="s">
        <v>1613</v>
      </c>
      <c r="D235" s="317" t="s">
        <v>1614</v>
      </c>
      <c r="E235" s="317">
        <v>37244</v>
      </c>
      <c r="F235" s="317" t="s">
        <v>2499</v>
      </c>
      <c r="G235" s="320">
        <v>43728</v>
      </c>
      <c r="H235" s="321">
        <f t="shared" si="3"/>
        <v>6</v>
      </c>
      <c r="I235" s="320" t="s">
        <v>2336</v>
      </c>
      <c r="J235" s="317" t="s">
        <v>15</v>
      </c>
      <c r="K235" s="317" t="s">
        <v>2933</v>
      </c>
      <c r="L235" s="317" t="s">
        <v>27</v>
      </c>
      <c r="M235" s="317" t="s">
        <v>27</v>
      </c>
      <c r="N235" s="317" t="s">
        <v>15</v>
      </c>
    </row>
    <row r="236" spans="1:14">
      <c r="A236" s="262" t="s">
        <v>1612</v>
      </c>
      <c r="B236" s="262">
        <v>1</v>
      </c>
      <c r="C236" s="262" t="s">
        <v>1613</v>
      </c>
      <c r="D236" s="262" t="s">
        <v>1614</v>
      </c>
      <c r="E236" s="262">
        <v>37246</v>
      </c>
      <c r="F236" s="262" t="s">
        <v>2500</v>
      </c>
      <c r="G236" s="264">
        <v>43728</v>
      </c>
      <c r="H236" s="271">
        <f t="shared" si="3"/>
        <v>6</v>
      </c>
      <c r="I236" s="264" t="s">
        <v>2336</v>
      </c>
      <c r="J236" s="262" t="s">
        <v>15</v>
      </c>
      <c r="K236" s="262" t="s">
        <v>15</v>
      </c>
      <c r="L236" s="262" t="s">
        <v>27</v>
      </c>
      <c r="M236" s="262" t="s">
        <v>27</v>
      </c>
      <c r="N236" s="262" t="s">
        <v>2985</v>
      </c>
    </row>
    <row r="237" spans="1:14">
      <c r="A237" s="262" t="s">
        <v>1612</v>
      </c>
      <c r="B237" s="262">
        <v>1</v>
      </c>
      <c r="C237" s="262" t="s">
        <v>1613</v>
      </c>
      <c r="D237" s="262" t="s">
        <v>1614</v>
      </c>
      <c r="E237" s="262">
        <v>37242</v>
      </c>
      <c r="F237" s="262" t="s">
        <v>2501</v>
      </c>
      <c r="G237" s="264">
        <v>43728</v>
      </c>
      <c r="H237" s="271">
        <f t="shared" si="3"/>
        <v>6</v>
      </c>
      <c r="I237" s="264" t="s">
        <v>2336</v>
      </c>
      <c r="J237" s="262" t="s">
        <v>15</v>
      </c>
      <c r="K237" s="262" t="s">
        <v>15</v>
      </c>
      <c r="L237" s="262" t="s">
        <v>27</v>
      </c>
      <c r="M237" s="262" t="s">
        <v>27</v>
      </c>
      <c r="N237" s="262" t="s">
        <v>2985</v>
      </c>
    </row>
    <row r="238" spans="1:14">
      <c r="A238" s="317" t="s">
        <v>1612</v>
      </c>
      <c r="B238" s="317">
        <v>1</v>
      </c>
      <c r="C238" s="317" t="s">
        <v>1613</v>
      </c>
      <c r="D238" s="317" t="s">
        <v>1614</v>
      </c>
      <c r="E238" s="317">
        <v>37248</v>
      </c>
      <c r="F238" s="317" t="s">
        <v>2502</v>
      </c>
      <c r="G238" s="320">
        <v>43728</v>
      </c>
      <c r="H238" s="321">
        <f t="shared" si="3"/>
        <v>6</v>
      </c>
      <c r="I238" s="320" t="s">
        <v>2336</v>
      </c>
      <c r="J238" s="317" t="s">
        <v>15</v>
      </c>
      <c r="K238" s="317" t="s">
        <v>2945</v>
      </c>
      <c r="L238" s="317" t="s">
        <v>27</v>
      </c>
      <c r="M238" s="317" t="s">
        <v>27</v>
      </c>
      <c r="N238" s="317" t="s">
        <v>15</v>
      </c>
    </row>
    <row r="239" spans="1:14">
      <c r="A239" s="317" t="s">
        <v>1612</v>
      </c>
      <c r="B239" s="317">
        <v>1</v>
      </c>
      <c r="C239" s="317" t="s">
        <v>1613</v>
      </c>
      <c r="D239" s="317" t="s">
        <v>1614</v>
      </c>
      <c r="E239" s="317">
        <v>37249</v>
      </c>
      <c r="F239" s="317" t="s">
        <v>2503</v>
      </c>
      <c r="G239" s="320">
        <v>43728</v>
      </c>
      <c r="H239" s="321">
        <f t="shared" si="3"/>
        <v>6</v>
      </c>
      <c r="I239" s="320" t="s">
        <v>2336</v>
      </c>
      <c r="J239" s="317" t="s">
        <v>15</v>
      </c>
      <c r="K239" s="317" t="s">
        <v>2945</v>
      </c>
      <c r="L239" s="317" t="s">
        <v>27</v>
      </c>
      <c r="M239" s="317" t="s">
        <v>27</v>
      </c>
      <c r="N239" s="317" t="s">
        <v>15</v>
      </c>
    </row>
    <row r="240" spans="1:14">
      <c r="A240" s="262" t="s">
        <v>1615</v>
      </c>
      <c r="B240" s="262">
        <v>1</v>
      </c>
      <c r="C240" s="262" t="s">
        <v>1348</v>
      </c>
      <c r="D240" s="262" t="s">
        <v>1616</v>
      </c>
      <c r="E240" s="262" t="s">
        <v>35</v>
      </c>
      <c r="F240" s="262" t="s">
        <v>2839</v>
      </c>
      <c r="G240" s="264">
        <v>44615</v>
      </c>
      <c r="H240" s="271">
        <f t="shared" si="3"/>
        <v>3</v>
      </c>
      <c r="I240" s="264" t="s">
        <v>2335</v>
      </c>
      <c r="J240" s="262" t="s">
        <v>15</v>
      </c>
      <c r="K240" s="262" t="s">
        <v>1222</v>
      </c>
      <c r="L240" s="262" t="s">
        <v>27</v>
      </c>
      <c r="M240" s="262"/>
      <c r="N240" s="262" t="s">
        <v>15</v>
      </c>
    </row>
    <row r="241" spans="1:14">
      <c r="A241" s="262" t="s">
        <v>1615</v>
      </c>
      <c r="B241" s="262">
        <v>1</v>
      </c>
      <c r="C241" s="262" t="s">
        <v>1348</v>
      </c>
      <c r="D241" s="262" t="s">
        <v>1616</v>
      </c>
      <c r="E241" s="262" t="s">
        <v>35</v>
      </c>
      <c r="F241" s="262" t="s">
        <v>2840</v>
      </c>
      <c r="G241" s="264">
        <v>44615</v>
      </c>
      <c r="H241" s="271">
        <f t="shared" si="3"/>
        <v>3</v>
      </c>
      <c r="I241" s="264" t="s">
        <v>2335</v>
      </c>
      <c r="J241" s="262" t="s">
        <v>15</v>
      </c>
      <c r="K241" s="262" t="s">
        <v>1222</v>
      </c>
      <c r="L241" s="262" t="s">
        <v>27</v>
      </c>
      <c r="M241" s="262"/>
      <c r="N241" s="262" t="s">
        <v>15</v>
      </c>
    </row>
    <row r="242" spans="1:14">
      <c r="A242" s="262" t="s">
        <v>1615</v>
      </c>
      <c r="B242" s="262">
        <v>1</v>
      </c>
      <c r="C242" s="262" t="s">
        <v>1348</v>
      </c>
      <c r="D242" s="262" t="s">
        <v>1616</v>
      </c>
      <c r="E242" s="262" t="s">
        <v>35</v>
      </c>
      <c r="F242" s="262" t="s">
        <v>2841</v>
      </c>
      <c r="G242" s="264">
        <v>44615</v>
      </c>
      <c r="H242" s="271">
        <f t="shared" si="3"/>
        <v>3</v>
      </c>
      <c r="I242" s="264" t="s">
        <v>2335</v>
      </c>
      <c r="J242" s="262" t="s">
        <v>15</v>
      </c>
      <c r="K242" s="262" t="s">
        <v>1222</v>
      </c>
      <c r="L242" s="262" t="s">
        <v>27</v>
      </c>
      <c r="M242" s="262"/>
      <c r="N242" s="262" t="s">
        <v>15</v>
      </c>
    </row>
    <row r="243" spans="1:14">
      <c r="A243" s="262" t="s">
        <v>1615</v>
      </c>
      <c r="B243" s="262">
        <v>1</v>
      </c>
      <c r="C243" s="262" t="s">
        <v>1348</v>
      </c>
      <c r="D243" s="262" t="s">
        <v>1616</v>
      </c>
      <c r="E243" s="262" t="s">
        <v>35</v>
      </c>
      <c r="F243" s="262" t="s">
        <v>2842</v>
      </c>
      <c r="G243" s="264">
        <v>44615</v>
      </c>
      <c r="H243" s="271">
        <f t="shared" si="3"/>
        <v>3</v>
      </c>
      <c r="I243" s="264" t="s">
        <v>2335</v>
      </c>
      <c r="J243" s="262" t="s">
        <v>15</v>
      </c>
      <c r="K243" s="262" t="s">
        <v>2984</v>
      </c>
      <c r="L243" s="262" t="s">
        <v>27</v>
      </c>
      <c r="M243" s="262"/>
      <c r="N243" s="262" t="s">
        <v>15</v>
      </c>
    </row>
    <row r="244" spans="1:14">
      <c r="A244" s="236" t="s">
        <v>1617</v>
      </c>
      <c r="B244" s="239">
        <v>1</v>
      </c>
      <c r="C244" s="234" t="s">
        <v>1282</v>
      </c>
      <c r="D244" s="234" t="s">
        <v>1618</v>
      </c>
      <c r="E244" s="234" t="s">
        <v>35</v>
      </c>
      <c r="F244" s="278" t="s">
        <v>2843</v>
      </c>
      <c r="G244" s="241">
        <v>44837</v>
      </c>
      <c r="H244" s="270">
        <f t="shared" si="3"/>
        <v>3</v>
      </c>
      <c r="I244" s="241" t="s">
        <v>2335</v>
      </c>
      <c r="J244" s="240" t="s">
        <v>15</v>
      </c>
      <c r="K244" s="240" t="s">
        <v>15</v>
      </c>
      <c r="L244" s="234" t="s">
        <v>15</v>
      </c>
      <c r="M244" s="234"/>
      <c r="N244" s="234" t="s">
        <v>15</v>
      </c>
    </row>
    <row r="245" spans="1:14">
      <c r="A245" s="280" t="s">
        <v>824</v>
      </c>
      <c r="B245" s="280">
        <v>1</v>
      </c>
      <c r="C245" s="280" t="s">
        <v>1282</v>
      </c>
      <c r="D245" s="280" t="s">
        <v>1619</v>
      </c>
      <c r="E245" s="280" t="s">
        <v>35</v>
      </c>
      <c r="F245" s="280" t="s">
        <v>35</v>
      </c>
      <c r="G245" s="281">
        <v>44166</v>
      </c>
      <c r="H245" s="282">
        <f t="shared" si="3"/>
        <v>5</v>
      </c>
      <c r="I245" s="281" t="s">
        <v>2335</v>
      </c>
      <c r="J245" s="280" t="s">
        <v>25</v>
      </c>
      <c r="K245" s="280" t="s">
        <v>1222</v>
      </c>
      <c r="L245" s="280" t="s">
        <v>27</v>
      </c>
      <c r="M245" s="280"/>
      <c r="N245" s="280" t="s">
        <v>15</v>
      </c>
    </row>
    <row r="246" spans="1:14">
      <c r="A246" s="280" t="s">
        <v>824</v>
      </c>
      <c r="B246" s="280">
        <v>1</v>
      </c>
      <c r="C246" s="280" t="s">
        <v>1282</v>
      </c>
      <c r="D246" s="280" t="s">
        <v>1619</v>
      </c>
      <c r="E246" s="280" t="s">
        <v>35</v>
      </c>
      <c r="F246" s="280" t="s">
        <v>35</v>
      </c>
      <c r="G246" s="281">
        <v>44166</v>
      </c>
      <c r="H246" s="282">
        <f t="shared" si="3"/>
        <v>5</v>
      </c>
      <c r="I246" s="281" t="s">
        <v>2335</v>
      </c>
      <c r="J246" s="280" t="s">
        <v>15</v>
      </c>
      <c r="K246" s="280" t="s">
        <v>1222</v>
      </c>
      <c r="L246" s="280" t="s">
        <v>27</v>
      </c>
      <c r="M246" s="280"/>
      <c r="N246" s="280" t="s">
        <v>15</v>
      </c>
    </row>
    <row r="247" spans="1:14">
      <c r="A247" s="280" t="s">
        <v>824</v>
      </c>
      <c r="B247" s="280">
        <v>1</v>
      </c>
      <c r="C247" s="280" t="s">
        <v>1282</v>
      </c>
      <c r="D247" s="280" t="s">
        <v>1619</v>
      </c>
      <c r="E247" s="280" t="s">
        <v>35</v>
      </c>
      <c r="F247" s="280" t="s">
        <v>35</v>
      </c>
      <c r="G247" s="281">
        <v>44166</v>
      </c>
      <c r="H247" s="282">
        <f t="shared" si="3"/>
        <v>5</v>
      </c>
      <c r="I247" s="281" t="s">
        <v>2335</v>
      </c>
      <c r="J247" s="280" t="s">
        <v>25</v>
      </c>
      <c r="K247" s="280" t="s">
        <v>1222</v>
      </c>
      <c r="L247" s="280" t="s">
        <v>27</v>
      </c>
      <c r="M247" s="280"/>
      <c r="N247" s="280" t="s">
        <v>15</v>
      </c>
    </row>
    <row r="248" spans="1:14">
      <c r="A248" s="262" t="s">
        <v>824</v>
      </c>
      <c r="B248" s="262">
        <v>1</v>
      </c>
      <c r="C248" s="262" t="s">
        <v>1282</v>
      </c>
      <c r="D248" s="262" t="s">
        <v>1619</v>
      </c>
      <c r="E248" s="262" t="s">
        <v>35</v>
      </c>
      <c r="F248" s="262" t="s">
        <v>35</v>
      </c>
      <c r="G248" s="264">
        <v>44166</v>
      </c>
      <c r="H248" s="271">
        <f t="shared" si="3"/>
        <v>5</v>
      </c>
      <c r="I248" s="264" t="s">
        <v>2335</v>
      </c>
      <c r="J248" s="262" t="s">
        <v>15</v>
      </c>
      <c r="K248" s="262" t="s">
        <v>1137</v>
      </c>
      <c r="L248" s="304" t="s">
        <v>2960</v>
      </c>
      <c r="M248" s="262"/>
      <c r="N248" s="262" t="s">
        <v>1137</v>
      </c>
    </row>
    <row r="249" spans="1:14">
      <c r="A249" s="280" t="s">
        <v>947</v>
      </c>
      <c r="B249" s="280">
        <v>1</v>
      </c>
      <c r="C249" s="280" t="s">
        <v>1621</v>
      </c>
      <c r="D249" s="280" t="s">
        <v>1622</v>
      </c>
      <c r="E249" s="280">
        <v>1908910</v>
      </c>
      <c r="F249" s="280" t="s">
        <v>2504</v>
      </c>
      <c r="G249" s="281">
        <v>43717</v>
      </c>
      <c r="H249" s="282">
        <f t="shared" ref="H249:H309" si="4">ABS(YEAR(G249)-2025)</f>
        <v>6</v>
      </c>
      <c r="I249" s="281" t="s">
        <v>2335</v>
      </c>
      <c r="J249" s="280" t="s">
        <v>15</v>
      </c>
      <c r="K249" s="280" t="s">
        <v>1823</v>
      </c>
      <c r="L249" s="234" t="s">
        <v>17</v>
      </c>
      <c r="M249" s="280" t="s">
        <v>27</v>
      </c>
      <c r="N249" s="280" t="s">
        <v>15</v>
      </c>
    </row>
    <row r="250" spans="1:14">
      <c r="A250" s="280" t="s">
        <v>947</v>
      </c>
      <c r="B250" s="280">
        <v>1</v>
      </c>
      <c r="C250" s="280" t="s">
        <v>1621</v>
      </c>
      <c r="D250" s="280" t="s">
        <v>1622</v>
      </c>
      <c r="E250" s="280">
        <v>1908914</v>
      </c>
      <c r="F250" s="280" t="s">
        <v>2505</v>
      </c>
      <c r="G250" s="281">
        <v>43717</v>
      </c>
      <c r="H250" s="282">
        <f t="shared" si="4"/>
        <v>6</v>
      </c>
      <c r="I250" s="281" t="s">
        <v>2335</v>
      </c>
      <c r="J250" s="280" t="s">
        <v>15</v>
      </c>
      <c r="K250" s="280" t="s">
        <v>2947</v>
      </c>
      <c r="L250" s="234" t="s">
        <v>17</v>
      </c>
      <c r="M250" s="280" t="s">
        <v>27</v>
      </c>
      <c r="N250" s="280" t="s">
        <v>15</v>
      </c>
    </row>
    <row r="251" spans="1:14">
      <c r="A251" s="280" t="s">
        <v>947</v>
      </c>
      <c r="B251" s="280">
        <v>1</v>
      </c>
      <c r="C251" s="280" t="s">
        <v>1621</v>
      </c>
      <c r="D251" s="280" t="s">
        <v>1622</v>
      </c>
      <c r="E251" s="280">
        <v>1908911</v>
      </c>
      <c r="F251" s="280" t="s">
        <v>2506</v>
      </c>
      <c r="G251" s="281">
        <v>43717</v>
      </c>
      <c r="H251" s="282">
        <f t="shared" si="4"/>
        <v>6</v>
      </c>
      <c r="I251" s="281" t="s">
        <v>2335</v>
      </c>
      <c r="J251" s="280" t="s">
        <v>15</v>
      </c>
      <c r="K251" s="280" t="s">
        <v>2884</v>
      </c>
      <c r="L251" s="234" t="s">
        <v>17</v>
      </c>
      <c r="M251" s="280" t="s">
        <v>27</v>
      </c>
      <c r="N251" s="280" t="s">
        <v>15</v>
      </c>
    </row>
    <row r="252" spans="1:14">
      <c r="A252" s="315" t="s">
        <v>1623</v>
      </c>
      <c r="B252" s="316">
        <v>1</v>
      </c>
      <c r="C252" s="316" t="s">
        <v>1624</v>
      </c>
      <c r="D252" s="316" t="s">
        <v>1625</v>
      </c>
      <c r="E252" s="316">
        <v>101865499</v>
      </c>
      <c r="F252" s="317" t="s">
        <v>2507</v>
      </c>
      <c r="G252" s="318">
        <v>43717</v>
      </c>
      <c r="H252" s="319">
        <f t="shared" si="4"/>
        <v>6</v>
      </c>
      <c r="I252" s="318" t="s">
        <v>1156</v>
      </c>
      <c r="J252" s="316" t="s">
        <v>15</v>
      </c>
      <c r="K252" s="316" t="s">
        <v>15</v>
      </c>
      <c r="L252" s="316" t="s">
        <v>17</v>
      </c>
      <c r="M252" s="316"/>
      <c r="N252" s="316" t="s">
        <v>15</v>
      </c>
    </row>
    <row r="253" spans="1:14">
      <c r="A253" s="262" t="s">
        <v>1626</v>
      </c>
      <c r="B253" s="262">
        <v>1</v>
      </c>
      <c r="C253" s="262" t="s">
        <v>349</v>
      </c>
      <c r="D253" s="262" t="s">
        <v>1627</v>
      </c>
      <c r="E253" s="262" t="s">
        <v>1628</v>
      </c>
      <c r="F253" s="262" t="s">
        <v>2508</v>
      </c>
      <c r="G253" s="264">
        <v>44782</v>
      </c>
      <c r="H253" s="271">
        <f t="shared" si="4"/>
        <v>3</v>
      </c>
      <c r="I253" s="264" t="s">
        <v>2336</v>
      </c>
      <c r="J253" s="262" t="s">
        <v>15</v>
      </c>
      <c r="K253" s="262" t="s">
        <v>15</v>
      </c>
      <c r="L253" s="262" t="s">
        <v>1453</v>
      </c>
      <c r="M253" s="262" t="s">
        <v>2936</v>
      </c>
      <c r="N253" s="262" t="s">
        <v>1395</v>
      </c>
    </row>
    <row r="254" spans="1:14">
      <c r="A254" s="262" t="s">
        <v>1626</v>
      </c>
      <c r="B254" s="262">
        <v>1</v>
      </c>
      <c r="C254" s="262" t="s">
        <v>349</v>
      </c>
      <c r="D254" s="262" t="s">
        <v>1627</v>
      </c>
      <c r="E254" s="262" t="s">
        <v>1629</v>
      </c>
      <c r="F254" s="262" t="s">
        <v>2509</v>
      </c>
      <c r="G254" s="264">
        <v>43728</v>
      </c>
      <c r="H254" s="271">
        <f t="shared" si="4"/>
        <v>6</v>
      </c>
      <c r="I254" s="264" t="s">
        <v>2336</v>
      </c>
      <c r="J254" s="262" t="s">
        <v>15</v>
      </c>
      <c r="K254" s="262" t="s">
        <v>15</v>
      </c>
      <c r="L254" s="262" t="s">
        <v>1453</v>
      </c>
      <c r="M254" s="262" t="s">
        <v>2936</v>
      </c>
      <c r="N254" s="262" t="s">
        <v>2974</v>
      </c>
    </row>
    <row r="255" spans="1:14">
      <c r="A255" s="317" t="s">
        <v>1626</v>
      </c>
      <c r="B255" s="317">
        <v>1</v>
      </c>
      <c r="C255" s="317" t="s">
        <v>349</v>
      </c>
      <c r="D255" s="317" t="s">
        <v>1627</v>
      </c>
      <c r="E255" s="317" t="s">
        <v>1630</v>
      </c>
      <c r="F255" s="317" t="s">
        <v>2510</v>
      </c>
      <c r="G255" s="320">
        <v>43728</v>
      </c>
      <c r="H255" s="321">
        <f t="shared" si="4"/>
        <v>6</v>
      </c>
      <c r="I255" s="320" t="s">
        <v>2336</v>
      </c>
      <c r="J255" s="317" t="s">
        <v>15</v>
      </c>
      <c r="K255" s="317" t="s">
        <v>2963</v>
      </c>
      <c r="L255" s="317" t="s">
        <v>27</v>
      </c>
      <c r="M255" s="317" t="s">
        <v>27</v>
      </c>
      <c r="N255" s="317" t="s">
        <v>15</v>
      </c>
    </row>
    <row r="256" spans="1:14">
      <c r="A256" s="262" t="s">
        <v>1626</v>
      </c>
      <c r="B256" s="262">
        <v>1</v>
      </c>
      <c r="C256" s="262" t="s">
        <v>349</v>
      </c>
      <c r="D256" s="262" t="s">
        <v>1627</v>
      </c>
      <c r="E256" s="262" t="s">
        <v>1631</v>
      </c>
      <c r="F256" s="262" t="s">
        <v>2511</v>
      </c>
      <c r="G256" s="264">
        <v>43728</v>
      </c>
      <c r="H256" s="271">
        <f t="shared" si="4"/>
        <v>6</v>
      </c>
      <c r="I256" s="264" t="s">
        <v>2336</v>
      </c>
      <c r="J256" s="262" t="s">
        <v>15</v>
      </c>
      <c r="K256" s="262" t="s">
        <v>15</v>
      </c>
      <c r="L256" s="262" t="s">
        <v>1453</v>
      </c>
      <c r="M256" s="262" t="s">
        <v>2936</v>
      </c>
      <c r="N256" s="262" t="s">
        <v>2974</v>
      </c>
    </row>
    <row r="257" spans="1:14">
      <c r="A257" s="280" t="s">
        <v>1626</v>
      </c>
      <c r="B257" s="280">
        <v>1</v>
      </c>
      <c r="C257" s="280" t="s">
        <v>349</v>
      </c>
      <c r="D257" s="280" t="s">
        <v>1632</v>
      </c>
      <c r="E257" s="280" t="s">
        <v>1633</v>
      </c>
      <c r="F257" s="280" t="s">
        <v>2512</v>
      </c>
      <c r="G257" s="281">
        <v>44782</v>
      </c>
      <c r="H257" s="282">
        <f t="shared" si="4"/>
        <v>3</v>
      </c>
      <c r="I257" s="281" t="s">
        <v>2335</v>
      </c>
      <c r="J257" s="280" t="s">
        <v>15</v>
      </c>
      <c r="K257" s="280" t="s">
        <v>2963</v>
      </c>
      <c r="L257" s="280" t="s">
        <v>27</v>
      </c>
      <c r="M257" s="280" t="s">
        <v>27</v>
      </c>
      <c r="N257" s="280" t="s">
        <v>15</v>
      </c>
    </row>
    <row r="258" spans="1:14">
      <c r="A258" s="280" t="s">
        <v>1626</v>
      </c>
      <c r="B258" s="280">
        <v>1</v>
      </c>
      <c r="C258" s="280" t="s">
        <v>349</v>
      </c>
      <c r="D258" s="280" t="s">
        <v>1632</v>
      </c>
      <c r="E258" s="280" t="s">
        <v>1634</v>
      </c>
      <c r="F258" s="280" t="s">
        <v>2513</v>
      </c>
      <c r="G258" s="281">
        <v>44782</v>
      </c>
      <c r="H258" s="282">
        <f t="shared" si="4"/>
        <v>3</v>
      </c>
      <c r="I258" s="281" t="s">
        <v>2335</v>
      </c>
      <c r="J258" s="280" t="s">
        <v>15</v>
      </c>
      <c r="K258" s="280" t="s">
        <v>2963</v>
      </c>
      <c r="L258" s="280" t="s">
        <v>27</v>
      </c>
      <c r="M258" s="280" t="s">
        <v>27</v>
      </c>
      <c r="N258" s="280" t="s">
        <v>15</v>
      </c>
    </row>
    <row r="259" spans="1:14">
      <c r="A259" s="280" t="s">
        <v>1626</v>
      </c>
      <c r="B259" s="280">
        <v>1</v>
      </c>
      <c r="C259" s="280" t="s">
        <v>349</v>
      </c>
      <c r="D259" s="280" t="s">
        <v>1632</v>
      </c>
      <c r="E259" s="280" t="s">
        <v>1635</v>
      </c>
      <c r="F259" s="280" t="s">
        <v>2514</v>
      </c>
      <c r="G259" s="281">
        <v>44782</v>
      </c>
      <c r="H259" s="282">
        <f t="shared" si="4"/>
        <v>3</v>
      </c>
      <c r="I259" s="281" t="s">
        <v>2335</v>
      </c>
      <c r="J259" s="280" t="s">
        <v>15</v>
      </c>
      <c r="K259" s="280" t="s">
        <v>15</v>
      </c>
      <c r="L259" s="280" t="s">
        <v>27</v>
      </c>
      <c r="M259" s="280" t="s">
        <v>27</v>
      </c>
      <c r="N259" s="280" t="s">
        <v>15</v>
      </c>
    </row>
    <row r="260" spans="1:14">
      <c r="A260" s="280" t="s">
        <v>1626</v>
      </c>
      <c r="B260" s="280">
        <v>1</v>
      </c>
      <c r="C260" s="280" t="s">
        <v>349</v>
      </c>
      <c r="D260" s="280" t="s">
        <v>1632</v>
      </c>
      <c r="E260" s="280" t="s">
        <v>1636</v>
      </c>
      <c r="F260" s="280" t="s">
        <v>2515</v>
      </c>
      <c r="G260" s="281">
        <v>44782</v>
      </c>
      <c r="H260" s="282">
        <f t="shared" si="4"/>
        <v>3</v>
      </c>
      <c r="I260" s="281" t="s">
        <v>2335</v>
      </c>
      <c r="J260" s="280" t="s">
        <v>15</v>
      </c>
      <c r="K260" s="280" t="s">
        <v>15</v>
      </c>
      <c r="L260" s="280" t="s">
        <v>27</v>
      </c>
      <c r="M260" s="280" t="s">
        <v>27</v>
      </c>
      <c r="N260" s="280" t="s">
        <v>15</v>
      </c>
    </row>
    <row r="261" spans="1:14">
      <c r="A261" s="262" t="s">
        <v>1626</v>
      </c>
      <c r="B261" s="262">
        <v>1</v>
      </c>
      <c r="C261" s="262" t="s">
        <v>349</v>
      </c>
      <c r="D261" s="262" t="s">
        <v>1627</v>
      </c>
      <c r="E261" s="262" t="s">
        <v>1637</v>
      </c>
      <c r="F261" s="262" t="s">
        <v>2517</v>
      </c>
      <c r="G261" s="264">
        <v>43728</v>
      </c>
      <c r="H261" s="271">
        <f t="shared" si="4"/>
        <v>6</v>
      </c>
      <c r="I261" s="264" t="s">
        <v>2336</v>
      </c>
      <c r="J261" s="262" t="s">
        <v>15</v>
      </c>
      <c r="K261" s="262" t="s">
        <v>15</v>
      </c>
      <c r="L261" s="262" t="s">
        <v>1453</v>
      </c>
      <c r="M261" s="262" t="s">
        <v>2936</v>
      </c>
      <c r="N261" s="262" t="s">
        <v>2974</v>
      </c>
    </row>
    <row r="262" spans="1:14">
      <c r="A262" s="262" t="s">
        <v>1626</v>
      </c>
      <c r="B262" s="262">
        <v>1</v>
      </c>
      <c r="C262" s="262" t="s">
        <v>349</v>
      </c>
      <c r="D262" s="262" t="s">
        <v>1627</v>
      </c>
      <c r="E262" s="262" t="s">
        <v>1638</v>
      </c>
      <c r="F262" s="262" t="s">
        <v>2518</v>
      </c>
      <c r="G262" s="264">
        <v>43728</v>
      </c>
      <c r="H262" s="271">
        <f t="shared" si="4"/>
        <v>6</v>
      </c>
      <c r="I262" s="264" t="s">
        <v>2336</v>
      </c>
      <c r="J262" s="262" t="s">
        <v>15</v>
      </c>
      <c r="K262" s="262" t="s">
        <v>15</v>
      </c>
      <c r="L262" s="262" t="s">
        <v>1453</v>
      </c>
      <c r="M262" s="262" t="s">
        <v>2936</v>
      </c>
      <c r="N262" s="262" t="s">
        <v>2974</v>
      </c>
    </row>
    <row r="263" spans="1:14">
      <c r="A263" s="262" t="s">
        <v>1626</v>
      </c>
      <c r="B263" s="262">
        <v>1</v>
      </c>
      <c r="C263" s="262" t="s">
        <v>349</v>
      </c>
      <c r="D263" s="262" t="s">
        <v>1627</v>
      </c>
      <c r="E263" s="262" t="s">
        <v>1639</v>
      </c>
      <c r="F263" s="262" t="s">
        <v>2519</v>
      </c>
      <c r="G263" s="264">
        <v>43728</v>
      </c>
      <c r="H263" s="271">
        <f t="shared" si="4"/>
        <v>6</v>
      </c>
      <c r="I263" s="264" t="s">
        <v>2336</v>
      </c>
      <c r="J263" s="262" t="s">
        <v>15</v>
      </c>
      <c r="K263" s="262" t="s">
        <v>15</v>
      </c>
      <c r="L263" s="262" t="s">
        <v>1453</v>
      </c>
      <c r="M263" s="262" t="s">
        <v>2936</v>
      </c>
      <c r="N263" s="262" t="s">
        <v>2974</v>
      </c>
    </row>
    <row r="264" spans="1:14">
      <c r="A264" s="262" t="s">
        <v>1626</v>
      </c>
      <c r="B264" s="262">
        <v>1</v>
      </c>
      <c r="C264" s="262" t="s">
        <v>349</v>
      </c>
      <c r="D264" s="262" t="s">
        <v>1627</v>
      </c>
      <c r="E264" s="262" t="s">
        <v>1640</v>
      </c>
      <c r="F264" s="262" t="s">
        <v>2520</v>
      </c>
      <c r="G264" s="264">
        <v>43728</v>
      </c>
      <c r="H264" s="271">
        <f t="shared" si="4"/>
        <v>6</v>
      </c>
      <c r="I264" s="264" t="s">
        <v>2336</v>
      </c>
      <c r="J264" s="262" t="s">
        <v>15</v>
      </c>
      <c r="K264" s="262"/>
      <c r="L264" s="262" t="s">
        <v>1453</v>
      </c>
      <c r="M264" s="262" t="s">
        <v>2936</v>
      </c>
      <c r="N264" s="262" t="s">
        <v>1395</v>
      </c>
    </row>
    <row r="265" spans="1:14">
      <c r="A265" s="280" t="s">
        <v>1626</v>
      </c>
      <c r="B265" s="280">
        <v>1</v>
      </c>
      <c r="C265" s="280" t="s">
        <v>349</v>
      </c>
      <c r="D265" s="280" t="s">
        <v>1632</v>
      </c>
      <c r="E265" s="280" t="s">
        <v>1641</v>
      </c>
      <c r="F265" s="280" t="s">
        <v>2521</v>
      </c>
      <c r="G265" s="281">
        <v>44782</v>
      </c>
      <c r="H265" s="282">
        <f t="shared" si="4"/>
        <v>3</v>
      </c>
      <c r="I265" s="281" t="s">
        <v>2335</v>
      </c>
      <c r="J265" s="280" t="s">
        <v>15</v>
      </c>
      <c r="K265" s="280" t="s">
        <v>15</v>
      </c>
      <c r="L265" s="280" t="s">
        <v>27</v>
      </c>
      <c r="M265" s="280" t="s">
        <v>27</v>
      </c>
      <c r="N265" s="280" t="s">
        <v>15</v>
      </c>
    </row>
    <row r="266" spans="1:14">
      <c r="A266" s="280" t="s">
        <v>1626</v>
      </c>
      <c r="B266" s="280">
        <v>1</v>
      </c>
      <c r="C266" s="280" t="s">
        <v>349</v>
      </c>
      <c r="D266" s="280" t="s">
        <v>1632</v>
      </c>
      <c r="E266" s="280" t="s">
        <v>1642</v>
      </c>
      <c r="F266" s="280" t="s">
        <v>2522</v>
      </c>
      <c r="G266" s="281">
        <v>44782</v>
      </c>
      <c r="H266" s="282">
        <f t="shared" si="4"/>
        <v>3</v>
      </c>
      <c r="I266" s="281" t="s">
        <v>2335</v>
      </c>
      <c r="J266" s="280" t="s">
        <v>15</v>
      </c>
      <c r="K266" s="280" t="s">
        <v>2963</v>
      </c>
      <c r="L266" s="280" t="s">
        <v>27</v>
      </c>
      <c r="M266" s="280" t="s">
        <v>27</v>
      </c>
      <c r="N266" s="280" t="s">
        <v>15</v>
      </c>
    </row>
    <row r="267" spans="1:14">
      <c r="A267" s="262" t="s">
        <v>1626</v>
      </c>
      <c r="B267" s="262">
        <v>1</v>
      </c>
      <c r="C267" s="262" t="s">
        <v>349</v>
      </c>
      <c r="D267" s="262" t="s">
        <v>1627</v>
      </c>
      <c r="E267" s="262" t="s">
        <v>2964</v>
      </c>
      <c r="F267" s="262" t="s">
        <v>2965</v>
      </c>
      <c r="G267" s="264"/>
      <c r="H267" s="271"/>
      <c r="I267" s="264"/>
      <c r="J267" s="262"/>
      <c r="K267" s="262"/>
      <c r="L267" s="262" t="s">
        <v>1453</v>
      </c>
      <c r="M267" s="262" t="s">
        <v>2936</v>
      </c>
      <c r="N267" s="262" t="s">
        <v>2974</v>
      </c>
    </row>
    <row r="268" spans="1:14">
      <c r="A268" s="280" t="s">
        <v>1626</v>
      </c>
      <c r="B268" s="280">
        <v>1</v>
      </c>
      <c r="C268" s="280" t="s">
        <v>349</v>
      </c>
      <c r="D268" s="280" t="s">
        <v>1627</v>
      </c>
      <c r="E268" s="280" t="s">
        <v>2971</v>
      </c>
      <c r="F268" s="280" t="s">
        <v>2972</v>
      </c>
      <c r="G268" s="281"/>
      <c r="H268" s="282"/>
      <c r="I268" s="281"/>
      <c r="J268" s="280"/>
      <c r="K268" s="280" t="s">
        <v>2973</v>
      </c>
      <c r="L268" s="280" t="s">
        <v>27</v>
      </c>
      <c r="M268" s="280" t="s">
        <v>27</v>
      </c>
      <c r="N268" s="280"/>
    </row>
    <row r="269" spans="1:14">
      <c r="A269" s="280" t="s">
        <v>1626</v>
      </c>
      <c r="B269" s="280">
        <v>1</v>
      </c>
      <c r="C269" s="280" t="s">
        <v>349</v>
      </c>
      <c r="D269" s="280" t="s">
        <v>1632</v>
      </c>
      <c r="E269" s="280" t="s">
        <v>1643</v>
      </c>
      <c r="F269" s="280" t="s">
        <v>2516</v>
      </c>
      <c r="G269" s="281">
        <v>44782</v>
      </c>
      <c r="H269" s="282">
        <f t="shared" si="4"/>
        <v>3</v>
      </c>
      <c r="I269" s="281" t="s">
        <v>2335</v>
      </c>
      <c r="J269" s="280" t="s">
        <v>15</v>
      </c>
      <c r="K269" s="280" t="s">
        <v>15</v>
      </c>
      <c r="L269" s="280" t="s">
        <v>27</v>
      </c>
      <c r="M269" s="280" t="s">
        <v>27</v>
      </c>
      <c r="N269" s="280" t="s">
        <v>15</v>
      </c>
    </row>
    <row r="270" spans="1:14">
      <c r="A270" s="311" t="s">
        <v>1644</v>
      </c>
      <c r="B270" s="243">
        <v>1</v>
      </c>
      <c r="C270" s="310" t="s">
        <v>1645</v>
      </c>
      <c r="D270" s="310" t="s">
        <v>1646</v>
      </c>
      <c r="E270" s="243" t="s">
        <v>1647</v>
      </c>
      <c r="F270" s="262" t="s">
        <v>2523</v>
      </c>
      <c r="G270" s="244">
        <v>45051</v>
      </c>
      <c r="H270" s="274">
        <f t="shared" si="4"/>
        <v>2</v>
      </c>
      <c r="I270" s="244" t="s">
        <v>2335</v>
      </c>
      <c r="J270" s="243" t="s">
        <v>15</v>
      </c>
      <c r="K270" s="243" t="s">
        <v>151</v>
      </c>
      <c r="L270" s="243" t="s">
        <v>17</v>
      </c>
      <c r="M270" s="243"/>
      <c r="N270" s="243" t="s">
        <v>15</v>
      </c>
    </row>
    <row r="271" spans="1:14">
      <c r="A271" s="280" t="s">
        <v>1304</v>
      </c>
      <c r="B271" s="280">
        <v>1</v>
      </c>
      <c r="C271" s="280" t="s">
        <v>187</v>
      </c>
      <c r="D271" s="280" t="s">
        <v>1305</v>
      </c>
      <c r="E271" s="280" t="s">
        <v>1648</v>
      </c>
      <c r="F271" s="280" t="s">
        <v>2524</v>
      </c>
      <c r="G271" s="281">
        <v>43923</v>
      </c>
      <c r="H271" s="282">
        <f t="shared" si="4"/>
        <v>5</v>
      </c>
      <c r="I271" s="281" t="s">
        <v>2335</v>
      </c>
      <c r="J271" s="280" t="s">
        <v>102</v>
      </c>
      <c r="K271" s="280" t="s">
        <v>2904</v>
      </c>
      <c r="L271" s="280" t="s">
        <v>27</v>
      </c>
      <c r="M271" s="280" t="s">
        <v>27</v>
      </c>
      <c r="N271" s="280" t="s">
        <v>15</v>
      </c>
    </row>
    <row r="272" spans="1:14">
      <c r="A272" s="317" t="s">
        <v>1304</v>
      </c>
      <c r="B272" s="317">
        <v>1</v>
      </c>
      <c r="C272" s="317" t="s">
        <v>1493</v>
      </c>
      <c r="D272" s="317" t="s">
        <v>1649</v>
      </c>
      <c r="E272" s="317" t="s">
        <v>1650</v>
      </c>
      <c r="F272" s="317" t="s">
        <v>2525</v>
      </c>
      <c r="G272" s="320">
        <v>43728</v>
      </c>
      <c r="H272" s="321">
        <f t="shared" si="4"/>
        <v>6</v>
      </c>
      <c r="I272" s="320" t="s">
        <v>2336</v>
      </c>
      <c r="J272" s="317" t="s">
        <v>15</v>
      </c>
      <c r="K272" s="317" t="s">
        <v>2944</v>
      </c>
      <c r="L272" s="317" t="s">
        <v>27</v>
      </c>
      <c r="M272" s="317" t="s">
        <v>27</v>
      </c>
      <c r="N272" s="317" t="s">
        <v>15</v>
      </c>
    </row>
    <row r="273" spans="1:14">
      <c r="A273" s="317" t="s">
        <v>1304</v>
      </c>
      <c r="B273" s="317">
        <v>1</v>
      </c>
      <c r="C273" s="317" t="s">
        <v>1493</v>
      </c>
      <c r="D273" s="317" t="s">
        <v>1649</v>
      </c>
      <c r="E273" s="317" t="s">
        <v>1651</v>
      </c>
      <c r="F273" s="317" t="s">
        <v>2526</v>
      </c>
      <c r="G273" s="320">
        <v>43728</v>
      </c>
      <c r="H273" s="321">
        <f t="shared" si="4"/>
        <v>6</v>
      </c>
      <c r="I273" s="320" t="s">
        <v>2336</v>
      </c>
      <c r="J273" s="317" t="s">
        <v>102</v>
      </c>
      <c r="K273" s="317" t="s">
        <v>2905</v>
      </c>
      <c r="L273" s="317" t="s">
        <v>27</v>
      </c>
      <c r="M273" s="317" t="s">
        <v>27</v>
      </c>
      <c r="N273" s="317" t="s">
        <v>15</v>
      </c>
    </row>
    <row r="274" spans="1:14">
      <c r="A274" s="317" t="s">
        <v>1304</v>
      </c>
      <c r="B274" s="317">
        <v>1</v>
      </c>
      <c r="C274" s="317" t="s">
        <v>1493</v>
      </c>
      <c r="D274" s="317" t="s">
        <v>1649</v>
      </c>
      <c r="E274" s="317" t="s">
        <v>1652</v>
      </c>
      <c r="F274" s="317" t="s">
        <v>2527</v>
      </c>
      <c r="G274" s="320">
        <v>43728</v>
      </c>
      <c r="H274" s="321">
        <f t="shared" si="4"/>
        <v>6</v>
      </c>
      <c r="I274" s="320" t="s">
        <v>2336</v>
      </c>
      <c r="J274" s="317" t="s">
        <v>26</v>
      </c>
      <c r="K274" s="317" t="s">
        <v>2906</v>
      </c>
      <c r="L274" s="317" t="s">
        <v>27</v>
      </c>
      <c r="M274" s="317" t="s">
        <v>27</v>
      </c>
      <c r="N274" s="317" t="s">
        <v>15</v>
      </c>
    </row>
    <row r="275" spans="1:14">
      <c r="A275" s="280" t="s">
        <v>1304</v>
      </c>
      <c r="B275" s="280">
        <v>1</v>
      </c>
      <c r="C275" s="280" t="s">
        <v>187</v>
      </c>
      <c r="D275" s="280" t="s">
        <v>1305</v>
      </c>
      <c r="E275" s="280" t="s">
        <v>1653</v>
      </c>
      <c r="F275" s="280" t="s">
        <v>2528</v>
      </c>
      <c r="G275" s="281">
        <v>43717</v>
      </c>
      <c r="H275" s="282">
        <f t="shared" si="4"/>
        <v>6</v>
      </c>
      <c r="I275" s="281" t="s">
        <v>2335</v>
      </c>
      <c r="J275" s="280" t="s">
        <v>102</v>
      </c>
      <c r="K275" s="280" t="s">
        <v>2907</v>
      </c>
      <c r="L275" s="280" t="s">
        <v>27</v>
      </c>
      <c r="M275" s="280" t="s">
        <v>27</v>
      </c>
      <c r="N275" s="280" t="s">
        <v>15</v>
      </c>
    </row>
    <row r="276" spans="1:14">
      <c r="A276" s="280" t="s">
        <v>1304</v>
      </c>
      <c r="B276" s="280">
        <v>1</v>
      </c>
      <c r="C276" s="280" t="s">
        <v>187</v>
      </c>
      <c r="D276" s="280" t="s">
        <v>1305</v>
      </c>
      <c r="E276" s="280" t="s">
        <v>1654</v>
      </c>
      <c r="F276" s="280" t="s">
        <v>2529</v>
      </c>
      <c r="G276" s="281">
        <v>43923</v>
      </c>
      <c r="H276" s="282">
        <f t="shared" si="4"/>
        <v>5</v>
      </c>
      <c r="I276" s="281" t="s">
        <v>2335</v>
      </c>
      <c r="J276" s="280" t="s">
        <v>26</v>
      </c>
      <c r="K276" s="280" t="s">
        <v>2909</v>
      </c>
      <c r="L276" s="280" t="s">
        <v>27</v>
      </c>
      <c r="M276" s="280" t="s">
        <v>27</v>
      </c>
      <c r="N276" s="280" t="s">
        <v>15</v>
      </c>
    </row>
    <row r="277" spans="1:14">
      <c r="A277" s="280" t="s">
        <v>1304</v>
      </c>
      <c r="B277" s="280">
        <v>1</v>
      </c>
      <c r="C277" s="280" t="s">
        <v>187</v>
      </c>
      <c r="D277" s="280" t="s">
        <v>1305</v>
      </c>
      <c r="E277" s="280" t="s">
        <v>1655</v>
      </c>
      <c r="F277" s="280" t="s">
        <v>2530</v>
      </c>
      <c r="G277" s="281">
        <v>43923</v>
      </c>
      <c r="H277" s="282">
        <f t="shared" si="4"/>
        <v>5</v>
      </c>
      <c r="I277" s="281" t="s">
        <v>2335</v>
      </c>
      <c r="J277" s="280" t="s">
        <v>78</v>
      </c>
      <c r="K277" s="280" t="s">
        <v>2908</v>
      </c>
      <c r="L277" s="280" t="s">
        <v>27</v>
      </c>
      <c r="M277" s="280" t="s">
        <v>27</v>
      </c>
      <c r="N277" s="280" t="s">
        <v>15</v>
      </c>
    </row>
    <row r="278" spans="1:14">
      <c r="A278" s="280" t="s">
        <v>1304</v>
      </c>
      <c r="B278" s="280">
        <v>1</v>
      </c>
      <c r="C278" s="280" t="s">
        <v>187</v>
      </c>
      <c r="D278" s="280" t="s">
        <v>1305</v>
      </c>
      <c r="E278" s="280" t="s">
        <v>1656</v>
      </c>
      <c r="F278" s="280" t="s">
        <v>2531</v>
      </c>
      <c r="G278" s="281">
        <v>43717</v>
      </c>
      <c r="H278" s="282">
        <f t="shared" si="4"/>
        <v>6</v>
      </c>
      <c r="I278" s="281" t="s">
        <v>2335</v>
      </c>
      <c r="J278" s="280" t="s">
        <v>26</v>
      </c>
      <c r="K278" s="280" t="s">
        <v>2906</v>
      </c>
      <c r="L278" s="280" t="s">
        <v>27</v>
      </c>
      <c r="M278" s="280" t="s">
        <v>27</v>
      </c>
      <c r="N278" s="280" t="s">
        <v>15</v>
      </c>
    </row>
    <row r="279" spans="1:14">
      <c r="A279" s="280" t="s">
        <v>1304</v>
      </c>
      <c r="B279" s="280">
        <v>1</v>
      </c>
      <c r="C279" s="280" t="s">
        <v>187</v>
      </c>
      <c r="D279" s="280" t="s">
        <v>1305</v>
      </c>
      <c r="E279" s="280" t="s">
        <v>1657</v>
      </c>
      <c r="F279" s="280" t="s">
        <v>2532</v>
      </c>
      <c r="G279" s="281">
        <v>43717</v>
      </c>
      <c r="H279" s="282">
        <f t="shared" si="4"/>
        <v>6</v>
      </c>
      <c r="I279" s="281" t="s">
        <v>2335</v>
      </c>
      <c r="J279" s="280" t="s">
        <v>26</v>
      </c>
      <c r="K279" s="280" t="s">
        <v>2906</v>
      </c>
      <c r="L279" s="280" t="s">
        <v>27</v>
      </c>
      <c r="M279" s="280" t="s">
        <v>27</v>
      </c>
      <c r="N279" s="280" t="s">
        <v>15</v>
      </c>
    </row>
    <row r="280" spans="1:14">
      <c r="A280" s="280" t="s">
        <v>1304</v>
      </c>
      <c r="B280" s="280">
        <v>1</v>
      </c>
      <c r="C280" s="280" t="s">
        <v>187</v>
      </c>
      <c r="D280" s="280" t="s">
        <v>1305</v>
      </c>
      <c r="E280" s="280" t="s">
        <v>1658</v>
      </c>
      <c r="F280" s="280" t="s">
        <v>2533</v>
      </c>
      <c r="G280" s="281">
        <v>43923</v>
      </c>
      <c r="H280" s="282">
        <f t="shared" si="4"/>
        <v>5</v>
      </c>
      <c r="I280" s="281" t="s">
        <v>2335</v>
      </c>
      <c r="J280" s="280" t="s">
        <v>102</v>
      </c>
      <c r="K280" s="280" t="s">
        <v>2907</v>
      </c>
      <c r="L280" s="280" t="s">
        <v>27</v>
      </c>
      <c r="M280" s="280" t="s">
        <v>27</v>
      </c>
      <c r="N280" s="280" t="s">
        <v>15</v>
      </c>
    </row>
    <row r="281" spans="1:14">
      <c r="A281" s="280" t="s">
        <v>1304</v>
      </c>
      <c r="B281" s="280">
        <v>1</v>
      </c>
      <c r="C281" s="280" t="s">
        <v>187</v>
      </c>
      <c r="D281" s="280" t="s">
        <v>1305</v>
      </c>
      <c r="E281" s="280" t="s">
        <v>1659</v>
      </c>
      <c r="F281" s="280" t="s">
        <v>2534</v>
      </c>
      <c r="G281" s="281">
        <v>43717</v>
      </c>
      <c r="H281" s="282">
        <f t="shared" si="4"/>
        <v>6</v>
      </c>
      <c r="I281" s="281" t="s">
        <v>2335</v>
      </c>
      <c r="J281" s="280" t="s">
        <v>2910</v>
      </c>
      <c r="K281" s="280" t="s">
        <v>2910</v>
      </c>
      <c r="L281" s="280" t="s">
        <v>27</v>
      </c>
      <c r="M281" s="280" t="s">
        <v>27</v>
      </c>
      <c r="N281" s="280" t="s">
        <v>15</v>
      </c>
    </row>
    <row r="282" spans="1:14">
      <c r="A282" s="280" t="s">
        <v>1304</v>
      </c>
      <c r="B282" s="280">
        <v>1</v>
      </c>
      <c r="C282" s="280" t="s">
        <v>187</v>
      </c>
      <c r="D282" s="280" t="s">
        <v>1305</v>
      </c>
      <c r="E282" s="280" t="s">
        <v>1660</v>
      </c>
      <c r="F282" s="280" t="s">
        <v>2535</v>
      </c>
      <c r="G282" s="281">
        <v>43717</v>
      </c>
      <c r="H282" s="282">
        <f t="shared" si="4"/>
        <v>6</v>
      </c>
      <c r="I282" s="281" t="s">
        <v>2335</v>
      </c>
      <c r="J282" s="280" t="s">
        <v>78</v>
      </c>
      <c r="K282" s="280" t="s">
        <v>2911</v>
      </c>
      <c r="L282" s="280" t="s">
        <v>27</v>
      </c>
      <c r="M282" s="280" t="s">
        <v>27</v>
      </c>
      <c r="N282" s="280" t="s">
        <v>15</v>
      </c>
    </row>
    <row r="283" spans="1:14">
      <c r="A283" s="280" t="s">
        <v>1304</v>
      </c>
      <c r="B283" s="280">
        <v>1</v>
      </c>
      <c r="C283" s="280" t="s">
        <v>187</v>
      </c>
      <c r="D283" s="280" t="s">
        <v>1305</v>
      </c>
      <c r="E283" s="280" t="s">
        <v>1661</v>
      </c>
      <c r="F283" s="280" t="s">
        <v>2536</v>
      </c>
      <c r="G283" s="281">
        <v>43717</v>
      </c>
      <c r="H283" s="282">
        <f t="shared" si="4"/>
        <v>6</v>
      </c>
      <c r="I283" s="281" t="s">
        <v>2335</v>
      </c>
      <c r="J283" s="280" t="s">
        <v>78</v>
      </c>
      <c r="K283" s="280" t="s">
        <v>2917</v>
      </c>
      <c r="L283" s="280" t="s">
        <v>27</v>
      </c>
      <c r="M283" s="280" t="s">
        <v>27</v>
      </c>
      <c r="N283" s="280" t="s">
        <v>15</v>
      </c>
    </row>
    <row r="284" spans="1:14">
      <c r="A284" s="280" t="s">
        <v>1304</v>
      </c>
      <c r="B284" s="280">
        <v>1</v>
      </c>
      <c r="C284" s="280" t="s">
        <v>187</v>
      </c>
      <c r="D284" s="280" t="s">
        <v>1305</v>
      </c>
      <c r="E284" s="280" t="s">
        <v>1662</v>
      </c>
      <c r="F284" s="280" t="s">
        <v>2537</v>
      </c>
      <c r="G284" s="281">
        <v>43923</v>
      </c>
      <c r="H284" s="282">
        <f t="shared" si="4"/>
        <v>5</v>
      </c>
      <c r="I284" s="281" t="s">
        <v>2335</v>
      </c>
      <c r="J284" s="280" t="s">
        <v>102</v>
      </c>
      <c r="K284" s="280" t="s">
        <v>2903</v>
      </c>
      <c r="L284" s="280" t="s">
        <v>27</v>
      </c>
      <c r="M284" s="280" t="s">
        <v>27</v>
      </c>
      <c r="N284" s="280" t="s">
        <v>15</v>
      </c>
    </row>
    <row r="285" spans="1:14">
      <c r="A285" s="280" t="s">
        <v>1304</v>
      </c>
      <c r="B285" s="280">
        <v>1</v>
      </c>
      <c r="C285" s="280" t="s">
        <v>187</v>
      </c>
      <c r="D285" s="280" t="s">
        <v>1305</v>
      </c>
      <c r="E285" s="280" t="s">
        <v>1663</v>
      </c>
      <c r="F285" s="280" t="s">
        <v>2538</v>
      </c>
      <c r="G285" s="281">
        <v>43923</v>
      </c>
      <c r="H285" s="282">
        <f t="shared" si="4"/>
        <v>5</v>
      </c>
      <c r="I285" s="281" t="s">
        <v>2335</v>
      </c>
      <c r="J285" s="280" t="s">
        <v>78</v>
      </c>
      <c r="K285" s="280" t="s">
        <v>2912</v>
      </c>
      <c r="L285" s="280" t="s">
        <v>27</v>
      </c>
      <c r="M285" s="280" t="s">
        <v>27</v>
      </c>
      <c r="N285" s="280" t="s">
        <v>15</v>
      </c>
    </row>
    <row r="286" spans="1:14">
      <c r="A286" s="280" t="s">
        <v>1304</v>
      </c>
      <c r="B286" s="280">
        <v>1</v>
      </c>
      <c r="C286" s="280" t="s">
        <v>187</v>
      </c>
      <c r="D286" s="280" t="s">
        <v>1305</v>
      </c>
      <c r="E286" s="280" t="s">
        <v>1664</v>
      </c>
      <c r="F286" s="280" t="s">
        <v>2539</v>
      </c>
      <c r="G286" s="281">
        <v>43717</v>
      </c>
      <c r="H286" s="282">
        <f t="shared" si="4"/>
        <v>6</v>
      </c>
      <c r="I286" s="281" t="s">
        <v>2335</v>
      </c>
      <c r="J286" s="280" t="s">
        <v>25</v>
      </c>
      <c r="K286" s="280" t="s">
        <v>2913</v>
      </c>
      <c r="L286" s="280" t="s">
        <v>27</v>
      </c>
      <c r="M286" s="280" t="s">
        <v>27</v>
      </c>
      <c r="N286" s="280" t="s">
        <v>15</v>
      </c>
    </row>
    <row r="287" spans="1:14">
      <c r="A287" s="280" t="s">
        <v>1304</v>
      </c>
      <c r="B287" s="280">
        <v>1</v>
      </c>
      <c r="C287" s="280" t="s">
        <v>187</v>
      </c>
      <c r="D287" s="280" t="s">
        <v>1305</v>
      </c>
      <c r="E287" s="280" t="s">
        <v>1665</v>
      </c>
      <c r="F287" s="280" t="s">
        <v>2920</v>
      </c>
      <c r="G287" s="281">
        <v>43717</v>
      </c>
      <c r="H287" s="282">
        <f t="shared" si="4"/>
        <v>6</v>
      </c>
      <c r="I287" s="281" t="s">
        <v>2335</v>
      </c>
      <c r="J287" s="280" t="s">
        <v>78</v>
      </c>
      <c r="K287" s="280" t="s">
        <v>2914</v>
      </c>
      <c r="L287" s="280" t="s">
        <v>27</v>
      </c>
      <c r="M287" s="280" t="s">
        <v>27</v>
      </c>
      <c r="N287" s="280" t="s">
        <v>15</v>
      </c>
    </row>
    <row r="288" spans="1:14">
      <c r="A288" s="280" t="s">
        <v>1304</v>
      </c>
      <c r="B288" s="280">
        <v>1</v>
      </c>
      <c r="C288" s="280" t="s">
        <v>187</v>
      </c>
      <c r="D288" s="280" t="s">
        <v>1305</v>
      </c>
      <c r="E288" s="280" t="s">
        <v>1666</v>
      </c>
      <c r="F288" s="280" t="s">
        <v>2540</v>
      </c>
      <c r="G288" s="281">
        <v>43717</v>
      </c>
      <c r="H288" s="282">
        <f t="shared" si="4"/>
        <v>6</v>
      </c>
      <c r="I288" s="281" t="s">
        <v>2335</v>
      </c>
      <c r="J288" s="280" t="s">
        <v>2910</v>
      </c>
      <c r="K288" s="280" t="s">
        <v>2910</v>
      </c>
      <c r="L288" s="280" t="s">
        <v>27</v>
      </c>
      <c r="M288" s="280" t="s">
        <v>27</v>
      </c>
      <c r="N288" s="280" t="s">
        <v>15</v>
      </c>
    </row>
    <row r="289" spans="1:14">
      <c r="A289" s="280" t="s">
        <v>1304</v>
      </c>
      <c r="B289" s="280">
        <v>1</v>
      </c>
      <c r="C289" s="280" t="s">
        <v>187</v>
      </c>
      <c r="D289" s="280" t="s">
        <v>1305</v>
      </c>
      <c r="E289" s="280" t="s">
        <v>1667</v>
      </c>
      <c r="F289" s="280" t="s">
        <v>2541</v>
      </c>
      <c r="G289" s="281">
        <v>43717</v>
      </c>
      <c r="H289" s="282">
        <f t="shared" si="4"/>
        <v>6</v>
      </c>
      <c r="I289" s="281" t="s">
        <v>2335</v>
      </c>
      <c r="J289" s="280" t="s">
        <v>102</v>
      </c>
      <c r="K289" s="280" t="s">
        <v>2915</v>
      </c>
      <c r="L289" s="280" t="s">
        <v>27</v>
      </c>
      <c r="M289" s="280" t="s">
        <v>27</v>
      </c>
      <c r="N289" s="280" t="s">
        <v>15</v>
      </c>
    </row>
    <row r="290" spans="1:14">
      <c r="A290" s="280" t="s">
        <v>1304</v>
      </c>
      <c r="B290" s="280">
        <v>1</v>
      </c>
      <c r="C290" s="280" t="s">
        <v>187</v>
      </c>
      <c r="D290" s="280" t="s">
        <v>1305</v>
      </c>
      <c r="E290" s="280" t="s">
        <v>1668</v>
      </c>
      <c r="F290" s="280" t="s">
        <v>2542</v>
      </c>
      <c r="G290" s="281">
        <v>43717</v>
      </c>
      <c r="H290" s="282">
        <f t="shared" si="4"/>
        <v>6</v>
      </c>
      <c r="I290" s="281" t="s">
        <v>2335</v>
      </c>
      <c r="J290" s="280" t="s">
        <v>102</v>
      </c>
      <c r="K290" s="280" t="s">
        <v>2916</v>
      </c>
      <c r="L290" s="280" t="s">
        <v>27</v>
      </c>
      <c r="M290" s="280" t="s">
        <v>27</v>
      </c>
      <c r="N290" s="280" t="s">
        <v>15</v>
      </c>
    </row>
    <row r="291" spans="1:14">
      <c r="A291" s="280" t="s">
        <v>1304</v>
      </c>
      <c r="B291" s="280">
        <v>1</v>
      </c>
      <c r="C291" s="280" t="s">
        <v>187</v>
      </c>
      <c r="D291" s="280" t="s">
        <v>1305</v>
      </c>
      <c r="E291" s="280" t="s">
        <v>1669</v>
      </c>
      <c r="F291" s="280" t="s">
        <v>2543</v>
      </c>
      <c r="G291" s="281">
        <v>43717</v>
      </c>
      <c r="H291" s="282">
        <f t="shared" si="4"/>
        <v>6</v>
      </c>
      <c r="I291" s="281" t="s">
        <v>2335</v>
      </c>
      <c r="J291" s="280" t="s">
        <v>102</v>
      </c>
      <c r="K291" s="280" t="s">
        <v>2916</v>
      </c>
      <c r="L291" s="280" t="s">
        <v>27</v>
      </c>
      <c r="M291" s="280" t="s">
        <v>27</v>
      </c>
      <c r="N291" s="280" t="s">
        <v>15</v>
      </c>
    </row>
    <row r="292" spans="1:14">
      <c r="A292" s="280" t="s">
        <v>1304</v>
      </c>
      <c r="B292" s="280">
        <v>1</v>
      </c>
      <c r="C292" s="280" t="s">
        <v>187</v>
      </c>
      <c r="D292" s="280" t="s">
        <v>1305</v>
      </c>
      <c r="E292" s="280" t="s">
        <v>1670</v>
      </c>
      <c r="F292" s="280" t="s">
        <v>2544</v>
      </c>
      <c r="G292" s="281">
        <v>43717</v>
      </c>
      <c r="H292" s="282">
        <f t="shared" si="4"/>
        <v>6</v>
      </c>
      <c r="I292" s="281" t="s">
        <v>2335</v>
      </c>
      <c r="J292" s="280" t="s">
        <v>26</v>
      </c>
      <c r="K292" s="280" t="s">
        <v>2917</v>
      </c>
      <c r="L292" s="280" t="s">
        <v>27</v>
      </c>
      <c r="M292" s="280" t="s">
        <v>27</v>
      </c>
      <c r="N292" s="280" t="s">
        <v>15</v>
      </c>
    </row>
    <row r="293" spans="1:14">
      <c r="A293" s="280" t="s">
        <v>1304</v>
      </c>
      <c r="B293" s="280">
        <v>1</v>
      </c>
      <c r="C293" s="280" t="s">
        <v>187</v>
      </c>
      <c r="D293" s="280" t="s">
        <v>1305</v>
      </c>
      <c r="E293" s="280" t="s">
        <v>1671</v>
      </c>
      <c r="F293" s="280" t="s">
        <v>2545</v>
      </c>
      <c r="G293" s="281">
        <v>43717</v>
      </c>
      <c r="H293" s="282">
        <f t="shared" si="4"/>
        <v>6</v>
      </c>
      <c r="I293" s="281" t="s">
        <v>2335</v>
      </c>
      <c r="J293" s="280" t="s">
        <v>102</v>
      </c>
      <c r="K293" s="280" t="s">
        <v>2918</v>
      </c>
      <c r="L293" s="280" t="s">
        <v>27</v>
      </c>
      <c r="M293" s="280" t="s">
        <v>27</v>
      </c>
      <c r="N293" s="280" t="s">
        <v>15</v>
      </c>
    </row>
    <row r="294" spans="1:14">
      <c r="A294" s="280" t="s">
        <v>1304</v>
      </c>
      <c r="B294" s="280">
        <v>1</v>
      </c>
      <c r="C294" s="280" t="s">
        <v>187</v>
      </c>
      <c r="D294" s="280" t="s">
        <v>1305</v>
      </c>
      <c r="E294" s="280" t="s">
        <v>1672</v>
      </c>
      <c r="F294" s="280" t="s">
        <v>2546</v>
      </c>
      <c r="G294" s="281">
        <v>43717</v>
      </c>
      <c r="H294" s="282">
        <f t="shared" si="4"/>
        <v>6</v>
      </c>
      <c r="I294" s="281" t="s">
        <v>2335</v>
      </c>
      <c r="J294" s="280" t="s">
        <v>102</v>
      </c>
      <c r="K294" s="280" t="s">
        <v>2903</v>
      </c>
      <c r="L294" s="280" t="s">
        <v>27</v>
      </c>
      <c r="M294" s="280" t="s">
        <v>27</v>
      </c>
      <c r="N294" s="280" t="s">
        <v>15</v>
      </c>
    </row>
    <row r="295" spans="1:14">
      <c r="A295" s="262" t="s">
        <v>1375</v>
      </c>
      <c r="B295" s="262">
        <v>1</v>
      </c>
      <c r="C295" s="262" t="s">
        <v>1673</v>
      </c>
      <c r="D295" s="262" t="s">
        <v>15</v>
      </c>
      <c r="E295" s="262" t="s">
        <v>15</v>
      </c>
      <c r="F295" s="304" t="s">
        <v>35</v>
      </c>
      <c r="G295" s="264">
        <v>43728</v>
      </c>
      <c r="H295" s="271">
        <f t="shared" si="4"/>
        <v>6</v>
      </c>
      <c r="I295" s="264" t="s">
        <v>2336</v>
      </c>
      <c r="J295" s="262" t="s">
        <v>151</v>
      </c>
      <c r="K295" s="330" t="s">
        <v>2249</v>
      </c>
      <c r="L295" s="262" t="s">
        <v>1453</v>
      </c>
      <c r="M295" s="262"/>
      <c r="N295" s="262" t="s">
        <v>2938</v>
      </c>
    </row>
    <row r="296" spans="1:14">
      <c r="A296" s="262" t="s">
        <v>1375</v>
      </c>
      <c r="B296" s="262">
        <v>1</v>
      </c>
      <c r="C296" s="262" t="s">
        <v>1673</v>
      </c>
      <c r="D296" s="262" t="s">
        <v>15</v>
      </c>
      <c r="E296" s="262" t="s">
        <v>15</v>
      </c>
      <c r="F296" s="304" t="s">
        <v>35</v>
      </c>
      <c r="G296" s="264">
        <v>43728</v>
      </c>
      <c r="H296" s="271">
        <f t="shared" si="4"/>
        <v>6</v>
      </c>
      <c r="I296" s="264" t="s">
        <v>2336</v>
      </c>
      <c r="J296" s="262" t="s">
        <v>151</v>
      </c>
      <c r="K296" s="330" t="s">
        <v>2249</v>
      </c>
      <c r="L296" s="262" t="s">
        <v>1453</v>
      </c>
      <c r="M296" s="262"/>
      <c r="N296" s="262" t="s">
        <v>2938</v>
      </c>
    </row>
    <row r="297" spans="1:14">
      <c r="A297" s="262" t="s">
        <v>1375</v>
      </c>
      <c r="B297" s="262">
        <v>1</v>
      </c>
      <c r="C297" s="262" t="s">
        <v>1529</v>
      </c>
      <c r="D297" s="262" t="s">
        <v>15</v>
      </c>
      <c r="E297" s="262" t="s">
        <v>1674</v>
      </c>
      <c r="F297" s="304" t="s">
        <v>35</v>
      </c>
      <c r="G297" s="264">
        <v>43728</v>
      </c>
      <c r="H297" s="271">
        <f t="shared" si="4"/>
        <v>6</v>
      </c>
      <c r="I297" s="264" t="s">
        <v>2336</v>
      </c>
      <c r="J297" s="262" t="s">
        <v>151</v>
      </c>
      <c r="K297" s="330" t="s">
        <v>2320</v>
      </c>
      <c r="L297" s="262" t="s">
        <v>1453</v>
      </c>
      <c r="M297" s="262"/>
      <c r="N297" s="262" t="s">
        <v>2938</v>
      </c>
    </row>
    <row r="298" spans="1:14">
      <c r="A298" s="255" t="s">
        <v>1375</v>
      </c>
      <c r="B298" s="256">
        <v>1</v>
      </c>
      <c r="C298" s="256" t="s">
        <v>1675</v>
      </c>
      <c r="D298" s="256" t="s">
        <v>1676</v>
      </c>
      <c r="E298" s="256" t="s">
        <v>1677</v>
      </c>
      <c r="F298" s="27" t="s">
        <v>2547</v>
      </c>
      <c r="G298" s="257">
        <v>43717</v>
      </c>
      <c r="H298" s="273">
        <f t="shared" si="4"/>
        <v>6</v>
      </c>
      <c r="I298" s="257" t="s">
        <v>2335</v>
      </c>
      <c r="J298" s="256" t="s">
        <v>151</v>
      </c>
      <c r="K298" s="258" t="s">
        <v>2225</v>
      </c>
      <c r="L298" s="27" t="s">
        <v>15</v>
      </c>
      <c r="M298" s="27"/>
      <c r="N298" s="27" t="s">
        <v>15</v>
      </c>
    </row>
    <row r="299" spans="1:14">
      <c r="A299" s="255" t="s">
        <v>1375</v>
      </c>
      <c r="B299" s="256">
        <v>1</v>
      </c>
      <c r="C299" s="256" t="s">
        <v>1675</v>
      </c>
      <c r="D299" s="256" t="s">
        <v>1676</v>
      </c>
      <c r="E299" s="256" t="s">
        <v>1678</v>
      </c>
      <c r="F299" s="27" t="s">
        <v>2548</v>
      </c>
      <c r="G299" s="257">
        <v>43717</v>
      </c>
      <c r="H299" s="273">
        <f t="shared" si="4"/>
        <v>6</v>
      </c>
      <c r="I299" s="257" t="s">
        <v>2335</v>
      </c>
      <c r="J299" s="256" t="s">
        <v>151</v>
      </c>
      <c r="K299" s="258" t="s">
        <v>2226</v>
      </c>
      <c r="L299" s="27" t="s">
        <v>15</v>
      </c>
      <c r="M299" s="27"/>
      <c r="N299" s="27" t="s">
        <v>15</v>
      </c>
    </row>
    <row r="300" spans="1:14">
      <c r="A300" s="255" t="s">
        <v>1375</v>
      </c>
      <c r="B300" s="256">
        <v>1</v>
      </c>
      <c r="C300" s="256" t="s">
        <v>1675</v>
      </c>
      <c r="D300" s="256" t="s">
        <v>1676</v>
      </c>
      <c r="E300" s="256" t="s">
        <v>1679</v>
      </c>
      <c r="F300" s="27" t="s">
        <v>2549</v>
      </c>
      <c r="G300" s="257">
        <v>43717</v>
      </c>
      <c r="H300" s="273">
        <f t="shared" si="4"/>
        <v>6</v>
      </c>
      <c r="I300" s="257" t="s">
        <v>2335</v>
      </c>
      <c r="J300" s="256" t="s">
        <v>151</v>
      </c>
      <c r="K300" s="258" t="s">
        <v>2227</v>
      </c>
      <c r="L300" s="27" t="s">
        <v>15</v>
      </c>
      <c r="M300" s="27"/>
      <c r="N300" s="27" t="s">
        <v>15</v>
      </c>
    </row>
    <row r="301" spans="1:14">
      <c r="A301" s="255" t="s">
        <v>1375</v>
      </c>
      <c r="B301" s="256">
        <v>1</v>
      </c>
      <c r="C301" s="256" t="s">
        <v>1675</v>
      </c>
      <c r="D301" s="256" t="s">
        <v>1676</v>
      </c>
      <c r="E301" s="256" t="s">
        <v>1680</v>
      </c>
      <c r="F301" s="27" t="s">
        <v>2550</v>
      </c>
      <c r="G301" s="257">
        <v>43717</v>
      </c>
      <c r="H301" s="273">
        <f t="shared" si="4"/>
        <v>6</v>
      </c>
      <c r="I301" s="257" t="s">
        <v>2335</v>
      </c>
      <c r="J301" s="256" t="s">
        <v>151</v>
      </c>
      <c r="K301" s="258" t="s">
        <v>2228</v>
      </c>
      <c r="L301" s="27" t="s">
        <v>15</v>
      </c>
      <c r="M301" s="27"/>
      <c r="N301" s="27" t="s">
        <v>15</v>
      </c>
    </row>
    <row r="302" spans="1:14">
      <c r="A302" s="255" t="s">
        <v>1375</v>
      </c>
      <c r="B302" s="256">
        <v>1</v>
      </c>
      <c r="C302" s="256" t="s">
        <v>1675</v>
      </c>
      <c r="D302" s="256" t="s">
        <v>1676</v>
      </c>
      <c r="E302" s="256" t="s">
        <v>1681</v>
      </c>
      <c r="F302" s="27" t="s">
        <v>2551</v>
      </c>
      <c r="G302" s="257">
        <v>43717</v>
      </c>
      <c r="H302" s="273">
        <f t="shared" si="4"/>
        <v>6</v>
      </c>
      <c r="I302" s="257" t="s">
        <v>2335</v>
      </c>
      <c r="J302" s="256" t="s">
        <v>151</v>
      </c>
      <c r="K302" s="258" t="s">
        <v>2229</v>
      </c>
      <c r="L302" s="27" t="s">
        <v>15</v>
      </c>
      <c r="M302" s="27"/>
      <c r="N302" s="27" t="s">
        <v>15</v>
      </c>
    </row>
    <row r="303" spans="1:14">
      <c r="A303" s="255" t="s">
        <v>1375</v>
      </c>
      <c r="B303" s="256">
        <v>1</v>
      </c>
      <c r="C303" s="256" t="s">
        <v>1675</v>
      </c>
      <c r="D303" s="256" t="s">
        <v>1676</v>
      </c>
      <c r="E303" s="256" t="s">
        <v>1682</v>
      </c>
      <c r="F303" s="27" t="s">
        <v>2552</v>
      </c>
      <c r="G303" s="257">
        <v>43717</v>
      </c>
      <c r="H303" s="273">
        <f t="shared" si="4"/>
        <v>6</v>
      </c>
      <c r="I303" s="257" t="s">
        <v>2335</v>
      </c>
      <c r="J303" s="256" t="s">
        <v>151</v>
      </c>
      <c r="K303" s="258" t="s">
        <v>2230</v>
      </c>
      <c r="L303" s="27" t="s">
        <v>15</v>
      </c>
      <c r="M303" s="27"/>
      <c r="N303" s="27" t="s">
        <v>15</v>
      </c>
    </row>
    <row r="304" spans="1:14">
      <c r="A304" s="251" t="s">
        <v>1375</v>
      </c>
      <c r="B304" s="252">
        <v>1</v>
      </c>
      <c r="C304" s="252" t="s">
        <v>1675</v>
      </c>
      <c r="D304" s="252" t="s">
        <v>1676</v>
      </c>
      <c r="E304" s="252" t="s">
        <v>1683</v>
      </c>
      <c r="F304" s="27" t="s">
        <v>2553</v>
      </c>
      <c r="G304" s="253">
        <v>43717</v>
      </c>
      <c r="H304" s="272">
        <f t="shared" si="4"/>
        <v>6</v>
      </c>
      <c r="I304" s="253" t="s">
        <v>2335</v>
      </c>
      <c r="J304" s="252" t="s">
        <v>151</v>
      </c>
      <c r="K304" s="254" t="s">
        <v>2250</v>
      </c>
      <c r="L304" s="27" t="s">
        <v>15</v>
      </c>
      <c r="M304" s="27"/>
      <c r="N304" s="27" t="s">
        <v>15</v>
      </c>
    </row>
    <row r="305" spans="1:14">
      <c r="A305" s="255" t="s">
        <v>1375</v>
      </c>
      <c r="B305" s="256">
        <v>1</v>
      </c>
      <c r="C305" s="256" t="s">
        <v>1675</v>
      </c>
      <c r="D305" s="256" t="s">
        <v>1676</v>
      </c>
      <c r="E305" s="256" t="s">
        <v>1684</v>
      </c>
      <c r="F305" s="27" t="s">
        <v>2554</v>
      </c>
      <c r="G305" s="257">
        <v>43717</v>
      </c>
      <c r="H305" s="273">
        <f t="shared" si="4"/>
        <v>6</v>
      </c>
      <c r="I305" s="257" t="s">
        <v>2335</v>
      </c>
      <c r="J305" s="256" t="s">
        <v>151</v>
      </c>
      <c r="K305" s="258" t="s">
        <v>2231</v>
      </c>
      <c r="L305" s="27" t="s">
        <v>15</v>
      </c>
      <c r="M305" s="27"/>
      <c r="N305" s="27" t="s">
        <v>15</v>
      </c>
    </row>
    <row r="306" spans="1:14">
      <c r="A306" s="255" t="s">
        <v>1375</v>
      </c>
      <c r="B306" s="256">
        <v>1</v>
      </c>
      <c r="C306" s="256" t="s">
        <v>1675</v>
      </c>
      <c r="D306" s="256" t="s">
        <v>1676</v>
      </c>
      <c r="E306" s="256" t="s">
        <v>1685</v>
      </c>
      <c r="F306" s="27" t="s">
        <v>2555</v>
      </c>
      <c r="G306" s="257">
        <v>43717</v>
      </c>
      <c r="H306" s="273">
        <f t="shared" si="4"/>
        <v>6</v>
      </c>
      <c r="I306" s="257" t="s">
        <v>2335</v>
      </c>
      <c r="J306" s="256" t="s">
        <v>151</v>
      </c>
      <c r="K306" s="258" t="s">
        <v>2232</v>
      </c>
      <c r="L306" s="27" t="s">
        <v>15</v>
      </c>
      <c r="M306" s="27"/>
      <c r="N306" s="27" t="s">
        <v>15</v>
      </c>
    </row>
    <row r="307" spans="1:14">
      <c r="A307" s="255" t="s">
        <v>1375</v>
      </c>
      <c r="B307" s="256">
        <v>1</v>
      </c>
      <c r="C307" s="256" t="s">
        <v>1675</v>
      </c>
      <c r="D307" s="256" t="s">
        <v>1676</v>
      </c>
      <c r="E307" s="256" t="s">
        <v>1686</v>
      </c>
      <c r="F307" s="27" t="s">
        <v>2556</v>
      </c>
      <c r="G307" s="257">
        <v>43717</v>
      </c>
      <c r="H307" s="273">
        <f t="shared" si="4"/>
        <v>6</v>
      </c>
      <c r="I307" s="257" t="s">
        <v>2335</v>
      </c>
      <c r="J307" s="256" t="s">
        <v>151</v>
      </c>
      <c r="K307" s="258" t="s">
        <v>2233</v>
      </c>
      <c r="L307" s="27" t="s">
        <v>15</v>
      </c>
      <c r="M307" s="27"/>
      <c r="N307" s="27" t="s">
        <v>15</v>
      </c>
    </row>
    <row r="308" spans="1:14">
      <c r="A308" s="255" t="s">
        <v>1375</v>
      </c>
      <c r="B308" s="256">
        <v>1</v>
      </c>
      <c r="C308" s="256" t="s">
        <v>1675</v>
      </c>
      <c r="D308" s="256" t="s">
        <v>1676</v>
      </c>
      <c r="E308" s="256" t="s">
        <v>1687</v>
      </c>
      <c r="F308" s="27" t="s">
        <v>2557</v>
      </c>
      <c r="G308" s="257">
        <v>43717</v>
      </c>
      <c r="H308" s="273">
        <f t="shared" si="4"/>
        <v>6</v>
      </c>
      <c r="I308" s="266" t="s">
        <v>2335</v>
      </c>
      <c r="J308" s="256" t="s">
        <v>151</v>
      </c>
      <c r="K308" s="260" t="s">
        <v>2235</v>
      </c>
      <c r="L308" s="27" t="s">
        <v>15</v>
      </c>
      <c r="M308" s="27"/>
      <c r="N308" s="27" t="s">
        <v>15</v>
      </c>
    </row>
    <row r="309" spans="1:14">
      <c r="A309" s="251" t="s">
        <v>1375</v>
      </c>
      <c r="B309" s="252">
        <v>1</v>
      </c>
      <c r="C309" s="252" t="s">
        <v>1675</v>
      </c>
      <c r="D309" s="252" t="s">
        <v>1676</v>
      </c>
      <c r="E309" s="252" t="s">
        <v>1688</v>
      </c>
      <c r="F309" s="27" t="s">
        <v>2558</v>
      </c>
      <c r="G309" s="253">
        <v>43717</v>
      </c>
      <c r="H309" s="272">
        <f t="shared" si="4"/>
        <v>6</v>
      </c>
      <c r="I309" s="253" t="s">
        <v>2335</v>
      </c>
      <c r="J309" s="252" t="s">
        <v>151</v>
      </c>
      <c r="K309" s="254" t="s">
        <v>2250</v>
      </c>
      <c r="L309" s="27" t="s">
        <v>15</v>
      </c>
      <c r="M309" s="27"/>
      <c r="N309" s="27" t="s">
        <v>15</v>
      </c>
    </row>
    <row r="310" spans="1:14">
      <c r="A310" s="255" t="s">
        <v>1375</v>
      </c>
      <c r="B310" s="256">
        <v>1</v>
      </c>
      <c r="C310" s="256" t="s">
        <v>1675</v>
      </c>
      <c r="D310" s="256" t="s">
        <v>1676</v>
      </c>
      <c r="E310" s="256" t="s">
        <v>1689</v>
      </c>
      <c r="F310" s="27" t="s">
        <v>2559</v>
      </c>
      <c r="G310" s="257">
        <v>43717</v>
      </c>
      <c r="H310" s="273">
        <f t="shared" ref="H310:H357" si="5">ABS(YEAR(G310)-2025)</f>
        <v>6</v>
      </c>
      <c r="I310" s="267" t="s">
        <v>2335</v>
      </c>
      <c r="J310" s="256" t="s">
        <v>151</v>
      </c>
      <c r="K310" s="261" t="s">
        <v>2236</v>
      </c>
      <c r="L310" s="27" t="s">
        <v>15</v>
      </c>
      <c r="M310" s="27"/>
      <c r="N310" s="27" t="s">
        <v>15</v>
      </c>
    </row>
    <row r="311" spans="1:14">
      <c r="A311" s="255" t="s">
        <v>1375</v>
      </c>
      <c r="B311" s="256">
        <v>1</v>
      </c>
      <c r="C311" s="256" t="s">
        <v>1675</v>
      </c>
      <c r="D311" s="256" t="s">
        <v>1676</v>
      </c>
      <c r="E311" s="256" t="s">
        <v>1690</v>
      </c>
      <c r="F311" s="27" t="s">
        <v>2560</v>
      </c>
      <c r="G311" s="257">
        <v>43717</v>
      </c>
      <c r="H311" s="273">
        <f t="shared" si="5"/>
        <v>6</v>
      </c>
      <c r="I311" s="265" t="s">
        <v>2335</v>
      </c>
      <c r="J311" s="256" t="s">
        <v>151</v>
      </c>
      <c r="K311" s="259" t="s">
        <v>2237</v>
      </c>
      <c r="L311" s="27" t="s">
        <v>15</v>
      </c>
      <c r="M311" s="27"/>
      <c r="N311" s="27" t="s">
        <v>15</v>
      </c>
    </row>
    <row r="312" spans="1:14">
      <c r="A312" s="255" t="s">
        <v>1375</v>
      </c>
      <c r="B312" s="256">
        <v>1</v>
      </c>
      <c r="C312" s="256" t="s">
        <v>1675</v>
      </c>
      <c r="D312" s="256" t="s">
        <v>1676</v>
      </c>
      <c r="E312" s="256" t="s">
        <v>1691</v>
      </c>
      <c r="F312" s="27" t="s">
        <v>2561</v>
      </c>
      <c r="G312" s="257">
        <v>43717</v>
      </c>
      <c r="H312" s="273">
        <f t="shared" si="5"/>
        <v>6</v>
      </c>
      <c r="I312" s="267" t="s">
        <v>2335</v>
      </c>
      <c r="J312" s="256" t="s">
        <v>151</v>
      </c>
      <c r="K312" s="261" t="s">
        <v>2238</v>
      </c>
      <c r="L312" s="27" t="s">
        <v>15</v>
      </c>
      <c r="M312" s="27"/>
      <c r="N312" s="27" t="s">
        <v>15</v>
      </c>
    </row>
    <row r="313" spans="1:14">
      <c r="A313" s="255" t="s">
        <v>1375</v>
      </c>
      <c r="B313" s="256">
        <v>1</v>
      </c>
      <c r="C313" s="256" t="s">
        <v>1675</v>
      </c>
      <c r="D313" s="256" t="s">
        <v>1676</v>
      </c>
      <c r="E313" s="256" t="s">
        <v>1692</v>
      </c>
      <c r="F313" s="27" t="s">
        <v>2562</v>
      </c>
      <c r="G313" s="257">
        <v>43717</v>
      </c>
      <c r="H313" s="273">
        <f t="shared" si="5"/>
        <v>6</v>
      </c>
      <c r="I313" s="257" t="s">
        <v>2335</v>
      </c>
      <c r="J313" s="256" t="s">
        <v>151</v>
      </c>
      <c r="K313" s="258" t="s">
        <v>2239</v>
      </c>
      <c r="L313" s="27" t="s">
        <v>15</v>
      </c>
      <c r="M313" s="27"/>
      <c r="N313" s="27" t="s">
        <v>15</v>
      </c>
    </row>
    <row r="314" spans="1:14">
      <c r="A314" s="255" t="s">
        <v>1375</v>
      </c>
      <c r="B314" s="256">
        <v>1</v>
      </c>
      <c r="C314" s="256" t="s">
        <v>1675</v>
      </c>
      <c r="D314" s="256" t="s">
        <v>1676</v>
      </c>
      <c r="E314" s="256" t="s">
        <v>1693</v>
      </c>
      <c r="F314" s="27" t="s">
        <v>2563</v>
      </c>
      <c r="G314" s="257">
        <v>43717</v>
      </c>
      <c r="H314" s="273">
        <f t="shared" si="5"/>
        <v>6</v>
      </c>
      <c r="I314" s="257" t="s">
        <v>2335</v>
      </c>
      <c r="J314" s="256" t="s">
        <v>151</v>
      </c>
      <c r="K314" s="258" t="s">
        <v>2240</v>
      </c>
      <c r="L314" s="27" t="s">
        <v>15</v>
      </c>
      <c r="M314" s="27"/>
      <c r="N314" s="27" t="s">
        <v>15</v>
      </c>
    </row>
    <row r="315" spans="1:14">
      <c r="A315" s="255" t="s">
        <v>1375</v>
      </c>
      <c r="B315" s="256">
        <v>1</v>
      </c>
      <c r="C315" s="256" t="s">
        <v>1675</v>
      </c>
      <c r="D315" s="256" t="s">
        <v>1676</v>
      </c>
      <c r="E315" s="256" t="s">
        <v>1694</v>
      </c>
      <c r="F315" s="27" t="s">
        <v>2564</v>
      </c>
      <c r="G315" s="257">
        <v>43717</v>
      </c>
      <c r="H315" s="273">
        <f t="shared" si="5"/>
        <v>6</v>
      </c>
      <c r="I315" s="257" t="s">
        <v>2335</v>
      </c>
      <c r="J315" s="256" t="s">
        <v>151</v>
      </c>
      <c r="K315" s="258" t="s">
        <v>2241</v>
      </c>
      <c r="L315" s="27" t="s">
        <v>15</v>
      </c>
      <c r="M315" s="27"/>
      <c r="N315" s="27" t="s">
        <v>15</v>
      </c>
    </row>
    <row r="316" spans="1:14">
      <c r="A316" s="255" t="s">
        <v>1375</v>
      </c>
      <c r="B316" s="256">
        <v>1</v>
      </c>
      <c r="C316" s="256" t="s">
        <v>1675</v>
      </c>
      <c r="D316" s="256" t="s">
        <v>1676</v>
      </c>
      <c r="E316" s="256" t="s">
        <v>1695</v>
      </c>
      <c r="F316" s="27" t="s">
        <v>2565</v>
      </c>
      <c r="G316" s="257">
        <v>43717</v>
      </c>
      <c r="H316" s="273">
        <f t="shared" si="5"/>
        <v>6</v>
      </c>
      <c r="I316" s="265" t="s">
        <v>2335</v>
      </c>
      <c r="J316" s="256" t="s">
        <v>151</v>
      </c>
      <c r="K316" s="259" t="s">
        <v>2242</v>
      </c>
      <c r="L316" s="27" t="s">
        <v>15</v>
      </c>
      <c r="M316" s="27"/>
      <c r="N316" s="27" t="s">
        <v>15</v>
      </c>
    </row>
    <row r="317" spans="1:14">
      <c r="A317" s="255" t="s">
        <v>1375</v>
      </c>
      <c r="B317" s="256">
        <v>1</v>
      </c>
      <c r="C317" s="256" t="s">
        <v>1675</v>
      </c>
      <c r="D317" s="256" t="s">
        <v>1676</v>
      </c>
      <c r="E317" s="256" t="s">
        <v>1696</v>
      </c>
      <c r="F317" s="27" t="s">
        <v>2566</v>
      </c>
      <c r="G317" s="257">
        <v>43717</v>
      </c>
      <c r="H317" s="273">
        <f t="shared" si="5"/>
        <v>6</v>
      </c>
      <c r="I317" s="267" t="s">
        <v>2335</v>
      </c>
      <c r="J317" s="256" t="s">
        <v>151</v>
      </c>
      <c r="K317" s="261" t="s">
        <v>2243</v>
      </c>
      <c r="L317" s="27" t="s">
        <v>15</v>
      </c>
      <c r="M317" s="27"/>
      <c r="N317" s="27" t="s">
        <v>15</v>
      </c>
    </row>
    <row r="318" spans="1:14">
      <c r="A318" s="255" t="s">
        <v>1375</v>
      </c>
      <c r="B318" s="256">
        <v>1</v>
      </c>
      <c r="C318" s="256" t="s">
        <v>1675</v>
      </c>
      <c r="D318" s="256" t="s">
        <v>1676</v>
      </c>
      <c r="E318" s="256" t="s">
        <v>1697</v>
      </c>
      <c r="F318" s="27" t="s">
        <v>2567</v>
      </c>
      <c r="G318" s="257">
        <v>43717</v>
      </c>
      <c r="H318" s="273">
        <f t="shared" si="5"/>
        <v>6</v>
      </c>
      <c r="I318" s="257" t="s">
        <v>2335</v>
      </c>
      <c r="J318" s="256" t="s">
        <v>151</v>
      </c>
      <c r="K318" s="258" t="s">
        <v>2244</v>
      </c>
      <c r="L318" s="27" t="s">
        <v>15</v>
      </c>
      <c r="M318" s="27"/>
      <c r="N318" s="27" t="s">
        <v>15</v>
      </c>
    </row>
    <row r="319" spans="1:14">
      <c r="A319" s="255" t="s">
        <v>1375</v>
      </c>
      <c r="B319" s="256">
        <v>1</v>
      </c>
      <c r="C319" s="256" t="s">
        <v>1675</v>
      </c>
      <c r="D319" s="256" t="s">
        <v>1676</v>
      </c>
      <c r="E319" s="256" t="s">
        <v>1698</v>
      </c>
      <c r="F319" s="27" t="s">
        <v>2568</v>
      </c>
      <c r="G319" s="257">
        <v>43717</v>
      </c>
      <c r="H319" s="273">
        <f t="shared" si="5"/>
        <v>6</v>
      </c>
      <c r="I319" s="257" t="s">
        <v>2335</v>
      </c>
      <c r="J319" s="256" t="s">
        <v>151</v>
      </c>
      <c r="K319" s="258" t="s">
        <v>2245</v>
      </c>
      <c r="L319" s="27" t="s">
        <v>15</v>
      </c>
      <c r="M319" s="27"/>
      <c r="N319" s="27" t="s">
        <v>15</v>
      </c>
    </row>
    <row r="320" spans="1:14">
      <c r="A320" s="255" t="s">
        <v>1375</v>
      </c>
      <c r="B320" s="256">
        <v>1</v>
      </c>
      <c r="C320" s="256" t="s">
        <v>1675</v>
      </c>
      <c r="D320" s="256" t="s">
        <v>1676</v>
      </c>
      <c r="E320" s="256" t="s">
        <v>1699</v>
      </c>
      <c r="F320" s="27" t="s">
        <v>2569</v>
      </c>
      <c r="G320" s="257">
        <v>43717</v>
      </c>
      <c r="H320" s="273">
        <f t="shared" si="5"/>
        <v>6</v>
      </c>
      <c r="I320" s="265" t="s">
        <v>2335</v>
      </c>
      <c r="J320" s="256" t="s">
        <v>151</v>
      </c>
      <c r="K320" s="259" t="s">
        <v>2246</v>
      </c>
      <c r="L320" s="27" t="s">
        <v>15</v>
      </c>
      <c r="M320" s="27"/>
      <c r="N320" s="27" t="s">
        <v>15</v>
      </c>
    </row>
    <row r="321" spans="1:14">
      <c r="A321" s="251" t="s">
        <v>1375</v>
      </c>
      <c r="B321" s="252">
        <v>1</v>
      </c>
      <c r="C321" s="252" t="s">
        <v>1675</v>
      </c>
      <c r="D321" s="252" t="s">
        <v>1676</v>
      </c>
      <c r="E321" s="252" t="s">
        <v>1700</v>
      </c>
      <c r="F321" s="234" t="s">
        <v>35</v>
      </c>
      <c r="G321" s="253">
        <v>43717</v>
      </c>
      <c r="H321" s="272">
        <f t="shared" si="5"/>
        <v>6</v>
      </c>
      <c r="I321" s="253" t="s">
        <v>2335</v>
      </c>
      <c r="J321" s="252" t="s">
        <v>151</v>
      </c>
      <c r="K321" s="254" t="s">
        <v>2251</v>
      </c>
      <c r="L321" s="27" t="s">
        <v>15</v>
      </c>
      <c r="M321" s="27"/>
      <c r="N321" s="27" t="s">
        <v>15</v>
      </c>
    </row>
    <row r="322" spans="1:14">
      <c r="A322" s="255" t="s">
        <v>1375</v>
      </c>
      <c r="B322" s="256">
        <v>1</v>
      </c>
      <c r="C322" s="256" t="s">
        <v>1675</v>
      </c>
      <c r="D322" s="256" t="s">
        <v>1676</v>
      </c>
      <c r="E322" s="256" t="s">
        <v>1701</v>
      </c>
      <c r="F322" s="27" t="s">
        <v>2570</v>
      </c>
      <c r="G322" s="257">
        <v>43717</v>
      </c>
      <c r="H322" s="273">
        <f t="shared" si="5"/>
        <v>6</v>
      </c>
      <c r="I322" s="267" t="s">
        <v>2335</v>
      </c>
      <c r="J322" s="256" t="s">
        <v>151</v>
      </c>
      <c r="K322" s="261" t="s">
        <v>2230</v>
      </c>
      <c r="L322" s="27" t="s">
        <v>15</v>
      </c>
      <c r="M322" s="27"/>
      <c r="N322" s="27" t="s">
        <v>15</v>
      </c>
    </row>
    <row r="323" spans="1:14">
      <c r="A323" s="255" t="s">
        <v>1375</v>
      </c>
      <c r="B323" s="256">
        <v>1</v>
      </c>
      <c r="C323" s="256" t="s">
        <v>1675</v>
      </c>
      <c r="D323" s="256" t="s">
        <v>1676</v>
      </c>
      <c r="E323" s="256" t="s">
        <v>1702</v>
      </c>
      <c r="F323" s="27" t="s">
        <v>2571</v>
      </c>
      <c r="G323" s="257">
        <v>43717</v>
      </c>
      <c r="H323" s="273">
        <f t="shared" si="5"/>
        <v>6</v>
      </c>
      <c r="I323" s="257" t="s">
        <v>2335</v>
      </c>
      <c r="J323" s="256" t="s">
        <v>151</v>
      </c>
      <c r="K323" s="258" t="s">
        <v>2234</v>
      </c>
      <c r="L323" s="27" t="s">
        <v>15</v>
      </c>
      <c r="M323" s="27"/>
      <c r="N323" s="27" t="s">
        <v>15</v>
      </c>
    </row>
    <row r="324" spans="1:14">
      <c r="A324" s="255" t="s">
        <v>1375</v>
      </c>
      <c r="B324" s="256">
        <v>1</v>
      </c>
      <c r="C324" s="256" t="s">
        <v>1675</v>
      </c>
      <c r="D324" s="256" t="s">
        <v>1676</v>
      </c>
      <c r="E324" s="256" t="s">
        <v>1703</v>
      </c>
      <c r="F324" s="27" t="s">
        <v>2572</v>
      </c>
      <c r="G324" s="257">
        <v>43717</v>
      </c>
      <c r="H324" s="273">
        <f t="shared" si="5"/>
        <v>6</v>
      </c>
      <c r="I324" s="257" t="s">
        <v>2335</v>
      </c>
      <c r="J324" s="256" t="s">
        <v>151</v>
      </c>
      <c r="K324" s="258" t="s">
        <v>2247</v>
      </c>
      <c r="L324" s="27" t="s">
        <v>15</v>
      </c>
      <c r="M324" s="27"/>
      <c r="N324" s="27" t="s">
        <v>15</v>
      </c>
    </row>
    <row r="325" spans="1:14">
      <c r="A325" s="255" t="s">
        <v>1375</v>
      </c>
      <c r="B325" s="256">
        <v>1</v>
      </c>
      <c r="C325" s="256" t="s">
        <v>1675</v>
      </c>
      <c r="D325" s="256" t="s">
        <v>1676</v>
      </c>
      <c r="E325" s="256" t="s">
        <v>1704</v>
      </c>
      <c r="F325" s="27" t="s">
        <v>2573</v>
      </c>
      <c r="G325" s="257">
        <v>43717</v>
      </c>
      <c r="H325" s="273">
        <f t="shared" si="5"/>
        <v>6</v>
      </c>
      <c r="I325" s="257" t="s">
        <v>2335</v>
      </c>
      <c r="J325" s="256" t="s">
        <v>151</v>
      </c>
      <c r="K325" s="258" t="s">
        <v>2248</v>
      </c>
      <c r="L325" s="27" t="s">
        <v>15</v>
      </c>
      <c r="M325" s="27"/>
      <c r="N325" s="27" t="s">
        <v>15</v>
      </c>
    </row>
    <row r="326" spans="1:14">
      <c r="A326" s="255" t="s">
        <v>1375</v>
      </c>
      <c r="B326" s="256">
        <v>1</v>
      </c>
      <c r="C326" s="256" t="s">
        <v>1675</v>
      </c>
      <c r="D326" s="256" t="s">
        <v>1676</v>
      </c>
      <c r="E326" s="256" t="s">
        <v>1705</v>
      </c>
      <c r="F326" s="27" t="s">
        <v>2574</v>
      </c>
      <c r="G326" s="257">
        <v>43717</v>
      </c>
      <c r="H326" s="273">
        <f t="shared" si="5"/>
        <v>6</v>
      </c>
      <c r="I326" s="257" t="s">
        <v>2335</v>
      </c>
      <c r="J326" s="256" t="s">
        <v>151</v>
      </c>
      <c r="K326" s="258" t="s">
        <v>2182</v>
      </c>
      <c r="L326" s="27" t="s">
        <v>15</v>
      </c>
      <c r="M326" s="27"/>
      <c r="N326" s="27" t="s">
        <v>15</v>
      </c>
    </row>
    <row r="327" spans="1:14">
      <c r="A327" s="255" t="s">
        <v>1375</v>
      </c>
      <c r="B327" s="256">
        <v>1</v>
      </c>
      <c r="C327" s="256" t="s">
        <v>1675</v>
      </c>
      <c r="D327" s="256" t="s">
        <v>1676</v>
      </c>
      <c r="E327" s="256" t="s">
        <v>1706</v>
      </c>
      <c r="F327" s="27" t="s">
        <v>2575</v>
      </c>
      <c r="G327" s="257">
        <v>43717</v>
      </c>
      <c r="H327" s="273">
        <f t="shared" si="5"/>
        <v>6</v>
      </c>
      <c r="I327" s="257" t="s">
        <v>2335</v>
      </c>
      <c r="J327" s="256" t="s">
        <v>151</v>
      </c>
      <c r="K327" s="258" t="s">
        <v>2182</v>
      </c>
      <c r="L327" s="27" t="s">
        <v>15</v>
      </c>
      <c r="M327" s="27"/>
      <c r="N327" s="27" t="s">
        <v>15</v>
      </c>
    </row>
    <row r="328" spans="1:14">
      <c r="A328" s="251" t="s">
        <v>1375</v>
      </c>
      <c r="B328" s="252">
        <v>1</v>
      </c>
      <c r="C328" s="252" t="s">
        <v>1675</v>
      </c>
      <c r="D328" s="252" t="s">
        <v>1676</v>
      </c>
      <c r="E328" s="252" t="s">
        <v>1707</v>
      </c>
      <c r="F328" s="27" t="s">
        <v>2576</v>
      </c>
      <c r="G328" s="253">
        <v>43717</v>
      </c>
      <c r="H328" s="272">
        <f t="shared" si="5"/>
        <v>6</v>
      </c>
      <c r="I328" s="253" t="s">
        <v>2335</v>
      </c>
      <c r="J328" s="252" t="s">
        <v>151</v>
      </c>
      <c r="K328" s="254" t="s">
        <v>2250</v>
      </c>
      <c r="L328" s="27" t="s">
        <v>15</v>
      </c>
      <c r="M328" s="27"/>
      <c r="N328" s="27" t="s">
        <v>15</v>
      </c>
    </row>
    <row r="329" spans="1:14">
      <c r="A329" s="255" t="s">
        <v>1375</v>
      </c>
      <c r="B329" s="256">
        <v>1</v>
      </c>
      <c r="C329" s="256" t="s">
        <v>1675</v>
      </c>
      <c r="D329" s="256" t="s">
        <v>1676</v>
      </c>
      <c r="E329" s="256" t="s">
        <v>1708</v>
      </c>
      <c r="F329" s="27" t="s">
        <v>2577</v>
      </c>
      <c r="G329" s="257">
        <v>43717</v>
      </c>
      <c r="H329" s="273">
        <f t="shared" si="5"/>
        <v>6</v>
      </c>
      <c r="I329" s="257" t="s">
        <v>2335</v>
      </c>
      <c r="J329" s="256" t="s">
        <v>151</v>
      </c>
      <c r="K329" s="258" t="s">
        <v>2252</v>
      </c>
      <c r="L329" s="27" t="s">
        <v>15</v>
      </c>
      <c r="M329" s="27"/>
      <c r="N329" s="27" t="s">
        <v>15</v>
      </c>
    </row>
    <row r="330" spans="1:14">
      <c r="A330" s="256" t="s">
        <v>1375</v>
      </c>
      <c r="B330" s="256">
        <v>1</v>
      </c>
      <c r="C330" s="256" t="s">
        <v>1529</v>
      </c>
      <c r="D330" s="256" t="s">
        <v>15</v>
      </c>
      <c r="E330" s="256" t="s">
        <v>1674</v>
      </c>
      <c r="F330" s="27"/>
      <c r="G330" s="257">
        <v>43728</v>
      </c>
      <c r="H330" s="273">
        <f t="shared" si="5"/>
        <v>6</v>
      </c>
      <c r="I330" s="257" t="s">
        <v>2336</v>
      </c>
      <c r="J330" s="256" t="s">
        <v>151</v>
      </c>
      <c r="K330" s="258" t="s">
        <v>2253</v>
      </c>
      <c r="L330" s="27" t="s">
        <v>15</v>
      </c>
      <c r="M330" s="27"/>
      <c r="N330" s="27" t="s">
        <v>15</v>
      </c>
    </row>
    <row r="331" spans="1:14">
      <c r="A331" s="262" t="s">
        <v>1310</v>
      </c>
      <c r="B331" s="262">
        <v>1</v>
      </c>
      <c r="C331" s="262" t="s">
        <v>1311</v>
      </c>
      <c r="D331" s="262" t="s">
        <v>1312</v>
      </c>
      <c r="E331" s="262" t="s">
        <v>1709</v>
      </c>
      <c r="F331" s="262" t="s">
        <v>2578</v>
      </c>
      <c r="G331" s="264">
        <v>43717</v>
      </c>
      <c r="H331" s="271">
        <f t="shared" si="5"/>
        <v>6</v>
      </c>
      <c r="I331" s="264" t="s">
        <v>2335</v>
      </c>
      <c r="J331" s="262" t="s">
        <v>25</v>
      </c>
      <c r="K331" s="262" t="s">
        <v>1222</v>
      </c>
      <c r="L331" s="262" t="s">
        <v>1453</v>
      </c>
      <c r="M331" s="262" t="s">
        <v>2922</v>
      </c>
      <c r="N331" s="262" t="s">
        <v>15</v>
      </c>
    </row>
    <row r="332" spans="1:14">
      <c r="A332" s="262" t="s">
        <v>1310</v>
      </c>
      <c r="B332" s="262">
        <v>1</v>
      </c>
      <c r="C332" s="262" t="s">
        <v>1311</v>
      </c>
      <c r="D332" s="262" t="s">
        <v>1312</v>
      </c>
      <c r="E332" s="262" t="s">
        <v>1710</v>
      </c>
      <c r="F332" s="262" t="s">
        <v>2579</v>
      </c>
      <c r="G332" s="264">
        <v>43717</v>
      </c>
      <c r="H332" s="271">
        <f t="shared" si="5"/>
        <v>6</v>
      </c>
      <c r="I332" s="264" t="s">
        <v>2335</v>
      </c>
      <c r="J332" s="262" t="s">
        <v>25</v>
      </c>
      <c r="K332" s="262" t="s">
        <v>1222</v>
      </c>
      <c r="L332" s="262" t="s">
        <v>1453</v>
      </c>
      <c r="M332" s="262" t="s">
        <v>2922</v>
      </c>
      <c r="N332" s="262" t="s">
        <v>15</v>
      </c>
    </row>
    <row r="333" spans="1:14">
      <c r="A333" s="280" t="s">
        <v>1310</v>
      </c>
      <c r="B333" s="280">
        <v>1</v>
      </c>
      <c r="C333" s="280" t="s">
        <v>1311</v>
      </c>
      <c r="D333" s="280" t="s">
        <v>1312</v>
      </c>
      <c r="E333" s="280" t="s">
        <v>1711</v>
      </c>
      <c r="F333" s="280" t="s">
        <v>2580</v>
      </c>
      <c r="G333" s="281">
        <v>43717</v>
      </c>
      <c r="H333" s="282">
        <f t="shared" si="5"/>
        <v>6</v>
      </c>
      <c r="I333" s="281" t="s">
        <v>2335</v>
      </c>
      <c r="J333" s="280" t="s">
        <v>2927</v>
      </c>
      <c r="K333" s="280" t="s">
        <v>2951</v>
      </c>
      <c r="L333" s="280" t="s">
        <v>27</v>
      </c>
      <c r="M333" s="280" t="s">
        <v>27</v>
      </c>
      <c r="N333" s="280" t="s">
        <v>15</v>
      </c>
    </row>
    <row r="334" spans="1:14">
      <c r="A334" s="262" t="s">
        <v>1310</v>
      </c>
      <c r="B334" s="262">
        <v>1</v>
      </c>
      <c r="C334" s="262" t="s">
        <v>1311</v>
      </c>
      <c r="D334" s="262" t="s">
        <v>1312</v>
      </c>
      <c r="E334" s="262" t="s">
        <v>1712</v>
      </c>
      <c r="F334" s="262" t="s">
        <v>2581</v>
      </c>
      <c r="G334" s="264">
        <v>43717</v>
      </c>
      <c r="H334" s="271">
        <f t="shared" si="5"/>
        <v>6</v>
      </c>
      <c r="I334" s="264" t="s">
        <v>2335</v>
      </c>
      <c r="J334" s="262" t="s">
        <v>25</v>
      </c>
      <c r="K334" s="262" t="s">
        <v>1222</v>
      </c>
      <c r="L334" s="262" t="s">
        <v>1453</v>
      </c>
      <c r="M334" s="262" t="s">
        <v>2922</v>
      </c>
      <c r="N334" s="262" t="s">
        <v>15</v>
      </c>
    </row>
    <row r="335" spans="1:14">
      <c r="A335" s="280" t="s">
        <v>1310</v>
      </c>
      <c r="B335" s="280">
        <v>1</v>
      </c>
      <c r="C335" s="280" t="s">
        <v>1311</v>
      </c>
      <c r="D335" s="280" t="s">
        <v>1312</v>
      </c>
      <c r="E335" s="280" t="s">
        <v>1713</v>
      </c>
      <c r="F335" s="280" t="s">
        <v>2582</v>
      </c>
      <c r="G335" s="281">
        <v>43717</v>
      </c>
      <c r="H335" s="282">
        <f t="shared" si="5"/>
        <v>6</v>
      </c>
      <c r="I335" s="281" t="s">
        <v>2335</v>
      </c>
      <c r="J335" s="280" t="s">
        <v>15</v>
      </c>
      <c r="K335" s="280" t="s">
        <v>2919</v>
      </c>
      <c r="L335" s="280" t="s">
        <v>27</v>
      </c>
      <c r="M335" s="280" t="s">
        <v>27</v>
      </c>
      <c r="N335" s="280" t="s">
        <v>15</v>
      </c>
    </row>
    <row r="336" spans="1:14">
      <c r="A336" s="317" t="s">
        <v>1310</v>
      </c>
      <c r="B336" s="317">
        <v>1</v>
      </c>
      <c r="C336" s="317" t="s">
        <v>1529</v>
      </c>
      <c r="D336" s="317" t="s">
        <v>1714</v>
      </c>
      <c r="E336" s="317" t="s">
        <v>1715</v>
      </c>
      <c r="F336" s="317" t="s">
        <v>2583</v>
      </c>
      <c r="G336" s="320">
        <v>43728</v>
      </c>
      <c r="H336" s="321">
        <f t="shared" si="5"/>
        <v>6</v>
      </c>
      <c r="I336" s="320" t="s">
        <v>2336</v>
      </c>
      <c r="J336" s="317" t="s">
        <v>2927</v>
      </c>
      <c r="K336" s="331" t="s">
        <v>2951</v>
      </c>
      <c r="L336" s="317" t="s">
        <v>27</v>
      </c>
      <c r="M336" s="317" t="s">
        <v>27</v>
      </c>
      <c r="N336" s="317" t="s">
        <v>15</v>
      </c>
    </row>
    <row r="337" spans="1:14">
      <c r="A337" s="317" t="s">
        <v>1310</v>
      </c>
      <c r="B337" s="317">
        <v>1</v>
      </c>
      <c r="C337" s="317" t="s">
        <v>1529</v>
      </c>
      <c r="D337" s="317" t="s">
        <v>1716</v>
      </c>
      <c r="E337" s="317" t="s">
        <v>1717</v>
      </c>
      <c r="F337" s="317" t="s">
        <v>2584</v>
      </c>
      <c r="G337" s="320">
        <v>43728</v>
      </c>
      <c r="H337" s="321">
        <f t="shared" si="5"/>
        <v>6</v>
      </c>
      <c r="I337" s="320" t="s">
        <v>2336</v>
      </c>
      <c r="J337" s="317" t="s">
        <v>25</v>
      </c>
      <c r="K337" s="317" t="s">
        <v>1222</v>
      </c>
      <c r="L337" s="317" t="s">
        <v>27</v>
      </c>
      <c r="M337" s="317" t="s">
        <v>27</v>
      </c>
      <c r="N337" s="317" t="s">
        <v>15</v>
      </c>
    </row>
    <row r="338" spans="1:14">
      <c r="A338" s="317" t="s">
        <v>1310</v>
      </c>
      <c r="B338" s="317">
        <v>1</v>
      </c>
      <c r="C338" s="317" t="s">
        <v>1529</v>
      </c>
      <c r="D338" s="317" t="s">
        <v>1716</v>
      </c>
      <c r="E338" s="317" t="s">
        <v>1718</v>
      </c>
      <c r="F338" s="317" t="s">
        <v>2585</v>
      </c>
      <c r="G338" s="320">
        <v>43728</v>
      </c>
      <c r="H338" s="321">
        <f t="shared" si="5"/>
        <v>6</v>
      </c>
      <c r="I338" s="320" t="s">
        <v>2336</v>
      </c>
      <c r="J338" s="317" t="s">
        <v>25</v>
      </c>
      <c r="K338" s="317" t="s">
        <v>1222</v>
      </c>
      <c r="L338" s="317" t="s">
        <v>27</v>
      </c>
      <c r="M338" s="317" t="s">
        <v>27</v>
      </c>
      <c r="N338" s="317" t="s">
        <v>15</v>
      </c>
    </row>
    <row r="339" spans="1:14">
      <c r="A339" s="280" t="s">
        <v>1310</v>
      </c>
      <c r="B339" s="280">
        <v>1</v>
      </c>
      <c r="C339" s="280" t="s">
        <v>1311</v>
      </c>
      <c r="D339" s="280" t="s">
        <v>1719</v>
      </c>
      <c r="E339" s="280" t="s">
        <v>1720</v>
      </c>
      <c r="F339" s="280" t="s">
        <v>2586</v>
      </c>
      <c r="G339" s="281">
        <v>43717</v>
      </c>
      <c r="H339" s="282">
        <f t="shared" si="5"/>
        <v>6</v>
      </c>
      <c r="I339" s="281" t="s">
        <v>2335</v>
      </c>
      <c r="J339" s="280" t="s">
        <v>25</v>
      </c>
      <c r="K339" s="280" t="s">
        <v>1222</v>
      </c>
      <c r="L339" s="280" t="s">
        <v>27</v>
      </c>
      <c r="M339" s="280" t="s">
        <v>27</v>
      </c>
      <c r="N339" s="280" t="s">
        <v>15</v>
      </c>
    </row>
    <row r="340" spans="1:14">
      <c r="A340" s="262" t="s">
        <v>1310</v>
      </c>
      <c r="B340" s="262">
        <v>1</v>
      </c>
      <c r="C340" s="262" t="s">
        <v>1311</v>
      </c>
      <c r="D340" s="262" t="s">
        <v>1312</v>
      </c>
      <c r="E340" s="262" t="s">
        <v>1721</v>
      </c>
      <c r="F340" s="262" t="s">
        <v>2587</v>
      </c>
      <c r="G340" s="264">
        <v>43717</v>
      </c>
      <c r="H340" s="271">
        <f t="shared" si="5"/>
        <v>6</v>
      </c>
      <c r="I340" s="264" t="s">
        <v>2335</v>
      </c>
      <c r="J340" s="262" t="s">
        <v>25</v>
      </c>
      <c r="K340" s="262" t="s">
        <v>1222</v>
      </c>
      <c r="L340" s="262" t="s">
        <v>1453</v>
      </c>
      <c r="M340" s="262" t="s">
        <v>2922</v>
      </c>
      <c r="N340" s="262" t="s">
        <v>15</v>
      </c>
    </row>
    <row r="341" spans="1:14">
      <c r="A341" s="280" t="s">
        <v>1310</v>
      </c>
      <c r="B341" s="280">
        <v>1</v>
      </c>
      <c r="C341" s="280" t="s">
        <v>1311</v>
      </c>
      <c r="D341" s="280" t="s">
        <v>1312</v>
      </c>
      <c r="E341" s="280" t="s">
        <v>1722</v>
      </c>
      <c r="F341" s="280" t="s">
        <v>2923</v>
      </c>
      <c r="G341" s="281">
        <v>43717</v>
      </c>
      <c r="H341" s="282">
        <f t="shared" si="5"/>
        <v>6</v>
      </c>
      <c r="I341" s="281" t="s">
        <v>2335</v>
      </c>
      <c r="J341" s="280" t="s">
        <v>25</v>
      </c>
      <c r="K341" s="280" t="s">
        <v>2926</v>
      </c>
      <c r="L341" s="280" t="s">
        <v>27</v>
      </c>
      <c r="M341" s="280" t="s">
        <v>27</v>
      </c>
      <c r="N341" s="280" t="s">
        <v>15</v>
      </c>
    </row>
    <row r="342" spans="1:14">
      <c r="A342" s="280" t="s">
        <v>1310</v>
      </c>
      <c r="B342" s="280">
        <v>1</v>
      </c>
      <c r="C342" s="280" t="s">
        <v>1311</v>
      </c>
      <c r="D342" s="280" t="s">
        <v>1312</v>
      </c>
      <c r="E342" s="280" t="s">
        <v>1723</v>
      </c>
      <c r="F342" s="280" t="s">
        <v>2588</v>
      </c>
      <c r="G342" s="281">
        <v>43717</v>
      </c>
      <c r="H342" s="282">
        <f t="shared" si="5"/>
        <v>6</v>
      </c>
      <c r="I342" s="281" t="s">
        <v>2335</v>
      </c>
      <c r="J342" s="280" t="s">
        <v>90</v>
      </c>
      <c r="K342" s="280" t="s">
        <v>1823</v>
      </c>
      <c r="L342" s="280" t="s">
        <v>27</v>
      </c>
      <c r="M342" s="280" t="s">
        <v>27</v>
      </c>
      <c r="N342" s="280" t="s">
        <v>15</v>
      </c>
    </row>
    <row r="343" spans="1:14">
      <c r="A343" s="262" t="s">
        <v>1310</v>
      </c>
      <c r="B343" s="262">
        <v>1</v>
      </c>
      <c r="C343" s="262" t="s">
        <v>1311</v>
      </c>
      <c r="D343" s="262" t="s">
        <v>1312</v>
      </c>
      <c r="E343" s="262" t="s">
        <v>1724</v>
      </c>
      <c r="F343" s="262" t="s">
        <v>2589</v>
      </c>
      <c r="G343" s="264">
        <v>43717</v>
      </c>
      <c r="H343" s="271">
        <f t="shared" si="5"/>
        <v>6</v>
      </c>
      <c r="I343" s="264" t="s">
        <v>2335</v>
      </c>
      <c r="J343" s="262" t="s">
        <v>25</v>
      </c>
      <c r="K343" s="262" t="s">
        <v>1222</v>
      </c>
      <c r="L343" s="262" t="s">
        <v>1453</v>
      </c>
      <c r="M343" s="262" t="s">
        <v>2922</v>
      </c>
      <c r="N343" s="262" t="s">
        <v>15</v>
      </c>
    </row>
    <row r="344" spans="1:14">
      <c r="A344" s="280" t="s">
        <v>1310</v>
      </c>
      <c r="B344" s="280">
        <v>1</v>
      </c>
      <c r="C344" s="280" t="s">
        <v>1311</v>
      </c>
      <c r="D344" s="280" t="s">
        <v>1312</v>
      </c>
      <c r="E344" s="280" t="s">
        <v>1725</v>
      </c>
      <c r="F344" s="280" t="s">
        <v>2590</v>
      </c>
      <c r="G344" s="281">
        <v>43717</v>
      </c>
      <c r="H344" s="282">
        <f t="shared" si="5"/>
        <v>6</v>
      </c>
      <c r="I344" s="281" t="s">
        <v>2335</v>
      </c>
      <c r="J344" s="280" t="s">
        <v>102</v>
      </c>
      <c r="K344" s="280" t="s">
        <v>2924</v>
      </c>
      <c r="L344" s="280" t="s">
        <v>27</v>
      </c>
      <c r="M344" s="280" t="s">
        <v>27</v>
      </c>
      <c r="N344" s="280" t="s">
        <v>15</v>
      </c>
    </row>
    <row r="345" spans="1:14">
      <c r="A345" s="280" t="s">
        <v>1310</v>
      </c>
      <c r="B345" s="280">
        <v>1</v>
      </c>
      <c r="C345" s="280" t="s">
        <v>1311</v>
      </c>
      <c r="D345" s="280" t="s">
        <v>1312</v>
      </c>
      <c r="E345" s="280" t="s">
        <v>1726</v>
      </c>
      <c r="F345" s="280" t="s">
        <v>2591</v>
      </c>
      <c r="G345" s="290">
        <v>43717</v>
      </c>
      <c r="H345" s="282">
        <f t="shared" si="5"/>
        <v>6</v>
      </c>
      <c r="I345" s="291" t="s">
        <v>2335</v>
      </c>
      <c r="J345" s="280" t="s">
        <v>102</v>
      </c>
      <c r="K345" s="280" t="s">
        <v>2925</v>
      </c>
      <c r="L345" s="280" t="s">
        <v>27</v>
      </c>
      <c r="M345" s="280" t="s">
        <v>27</v>
      </c>
      <c r="N345" s="280" t="s">
        <v>15</v>
      </c>
    </row>
    <row r="346" spans="1:14">
      <c r="A346" s="280" t="s">
        <v>1310</v>
      </c>
      <c r="B346" s="280">
        <v>1</v>
      </c>
      <c r="C346" s="280" t="s">
        <v>1311</v>
      </c>
      <c r="D346" s="280" t="s">
        <v>1312</v>
      </c>
      <c r="E346" s="280" t="s">
        <v>2929</v>
      </c>
      <c r="F346" s="280" t="s">
        <v>2928</v>
      </c>
      <c r="G346" s="281">
        <v>45464</v>
      </c>
      <c r="H346" s="282">
        <f t="shared" si="5"/>
        <v>1</v>
      </c>
      <c r="I346" s="281" t="s">
        <v>2335</v>
      </c>
      <c r="J346" s="280" t="s">
        <v>90</v>
      </c>
      <c r="K346" s="280" t="s">
        <v>1823</v>
      </c>
      <c r="L346" s="280" t="s">
        <v>27</v>
      </c>
      <c r="M346" s="280" t="s">
        <v>27</v>
      </c>
      <c r="N346" s="280" t="s">
        <v>15</v>
      </c>
    </row>
    <row r="347" spans="1:14">
      <c r="A347" s="280" t="s">
        <v>1310</v>
      </c>
      <c r="B347" s="280">
        <v>1</v>
      </c>
      <c r="C347" s="280" t="s">
        <v>1311</v>
      </c>
      <c r="D347" s="280" t="s">
        <v>2930</v>
      </c>
      <c r="E347" s="280" t="s">
        <v>2958</v>
      </c>
      <c r="F347" s="280" t="s">
        <v>2932</v>
      </c>
      <c r="G347" s="281"/>
      <c r="H347" s="282"/>
      <c r="I347" s="281"/>
      <c r="J347" s="280"/>
      <c r="K347" s="280" t="s">
        <v>2956</v>
      </c>
      <c r="L347" s="280" t="s">
        <v>27</v>
      </c>
      <c r="M347" s="280" t="s">
        <v>27</v>
      </c>
      <c r="N347" s="280"/>
    </row>
    <row r="348" spans="1:14">
      <c r="A348" s="280" t="s">
        <v>1310</v>
      </c>
      <c r="B348" s="280">
        <v>1</v>
      </c>
      <c r="C348" s="280" t="s">
        <v>1311</v>
      </c>
      <c r="D348" s="280" t="s">
        <v>2930</v>
      </c>
      <c r="E348" s="280" t="s">
        <v>2959</v>
      </c>
      <c r="F348" s="280" t="s">
        <v>2931</v>
      </c>
      <c r="G348" s="281"/>
      <c r="H348" s="282"/>
      <c r="I348" s="281"/>
      <c r="J348" s="280"/>
      <c r="K348" s="280" t="s">
        <v>2957</v>
      </c>
      <c r="L348" s="280" t="s">
        <v>27</v>
      </c>
      <c r="M348" s="280" t="s">
        <v>27</v>
      </c>
      <c r="N348" s="280"/>
    </row>
    <row r="349" spans="1:14">
      <c r="A349" s="280" t="s">
        <v>1310</v>
      </c>
      <c r="B349" s="280">
        <v>1</v>
      </c>
      <c r="C349" s="280" t="s">
        <v>1311</v>
      </c>
      <c r="D349" s="280" t="s">
        <v>2930</v>
      </c>
      <c r="E349" s="280" t="s">
        <v>2993</v>
      </c>
      <c r="F349" s="280"/>
      <c r="G349" s="281">
        <v>46056</v>
      </c>
      <c r="H349" s="282"/>
      <c r="I349" s="281"/>
      <c r="J349" s="280"/>
      <c r="K349" s="280"/>
      <c r="L349" s="280"/>
      <c r="M349" s="280"/>
      <c r="N349" s="280"/>
    </row>
    <row r="350" spans="1:14">
      <c r="A350" s="280" t="s">
        <v>1310</v>
      </c>
      <c r="B350" s="280">
        <v>1</v>
      </c>
      <c r="C350" s="280" t="s">
        <v>1311</v>
      </c>
      <c r="D350" s="280" t="s">
        <v>2930</v>
      </c>
      <c r="E350" s="280" t="s">
        <v>2994</v>
      </c>
      <c r="F350" s="280"/>
      <c r="G350" s="281">
        <v>46056</v>
      </c>
      <c r="H350" s="282"/>
      <c r="I350" s="281"/>
      <c r="J350" s="280"/>
      <c r="K350" s="280"/>
      <c r="L350" s="280"/>
      <c r="M350" s="280"/>
      <c r="N350" s="280"/>
    </row>
    <row r="351" spans="1:14">
      <c r="A351" s="280" t="s">
        <v>354</v>
      </c>
      <c r="B351" s="280">
        <v>1</v>
      </c>
      <c r="C351" s="279" t="s">
        <v>1727</v>
      </c>
      <c r="D351" s="279" t="s">
        <v>1728</v>
      </c>
      <c r="E351" s="280" t="s">
        <v>1729</v>
      </c>
      <c r="F351" s="280" t="s">
        <v>2592</v>
      </c>
      <c r="G351" s="281">
        <v>44971</v>
      </c>
      <c r="H351" s="282">
        <f t="shared" si="5"/>
        <v>2</v>
      </c>
      <c r="I351" s="281" t="s">
        <v>2335</v>
      </c>
      <c r="J351" s="280" t="s">
        <v>15</v>
      </c>
      <c r="K351" s="280" t="s">
        <v>78</v>
      </c>
      <c r="L351" s="234" t="s">
        <v>17</v>
      </c>
      <c r="M351" s="280" t="s">
        <v>27</v>
      </c>
      <c r="N351" s="280" t="s">
        <v>15</v>
      </c>
    </row>
    <row r="352" spans="1:14">
      <c r="A352" s="280" t="s">
        <v>354</v>
      </c>
      <c r="B352" s="280">
        <v>1</v>
      </c>
      <c r="C352" s="279" t="s">
        <v>1727</v>
      </c>
      <c r="D352" s="279" t="s">
        <v>1728</v>
      </c>
      <c r="E352" s="280" t="s">
        <v>2878</v>
      </c>
      <c r="F352" s="280" t="s">
        <v>2877</v>
      </c>
      <c r="G352" s="281">
        <v>44971</v>
      </c>
      <c r="H352" s="282">
        <f t="shared" si="5"/>
        <v>2</v>
      </c>
      <c r="I352" s="281" t="s">
        <v>2335</v>
      </c>
      <c r="J352" s="280" t="s">
        <v>15</v>
      </c>
      <c r="K352" s="280" t="s">
        <v>2913</v>
      </c>
      <c r="L352" s="234" t="s">
        <v>17</v>
      </c>
      <c r="M352" s="280" t="s">
        <v>27</v>
      </c>
      <c r="N352" s="280" t="s">
        <v>15</v>
      </c>
    </row>
    <row r="353" spans="1:14">
      <c r="A353" s="234" t="s">
        <v>1730</v>
      </c>
      <c r="B353" s="234">
        <v>1</v>
      </c>
      <c r="C353" s="234" t="s">
        <v>1731</v>
      </c>
      <c r="D353" s="234">
        <v>9531250</v>
      </c>
      <c r="E353" s="234" t="s">
        <v>15</v>
      </c>
      <c r="F353" s="278" t="s">
        <v>2844</v>
      </c>
      <c r="G353" s="235">
        <v>45125</v>
      </c>
      <c r="H353" s="268">
        <f>ABS(YEAR(G353)-2025)</f>
        <v>2</v>
      </c>
      <c r="I353" s="234" t="s">
        <v>2335</v>
      </c>
      <c r="J353" s="235" t="s">
        <v>15</v>
      </c>
      <c r="K353" s="234" t="s">
        <v>2884</v>
      </c>
      <c r="L353" s="234" t="s">
        <v>17</v>
      </c>
      <c r="M353" s="234"/>
      <c r="N353" s="247" t="s">
        <v>15</v>
      </c>
    </row>
    <row r="354" spans="1:14">
      <c r="A354" s="262" t="s">
        <v>1732</v>
      </c>
      <c r="B354" s="262">
        <v>1</v>
      </c>
      <c r="C354" s="262" t="s">
        <v>1733</v>
      </c>
      <c r="D354" s="262" t="s">
        <v>1734</v>
      </c>
      <c r="E354" s="262" t="s">
        <v>35</v>
      </c>
      <c r="F354" s="262" t="s">
        <v>35</v>
      </c>
      <c r="G354" s="264">
        <v>44403</v>
      </c>
      <c r="H354" s="271">
        <f t="shared" si="5"/>
        <v>4</v>
      </c>
      <c r="I354" s="264" t="s">
        <v>2335</v>
      </c>
      <c r="J354" s="262" t="s">
        <v>15</v>
      </c>
      <c r="K354" s="262" t="s">
        <v>15</v>
      </c>
      <c r="L354" s="262" t="s">
        <v>1453</v>
      </c>
      <c r="M354" s="262" t="s">
        <v>27</v>
      </c>
      <c r="N354" s="262" t="s">
        <v>2987</v>
      </c>
    </row>
    <row r="355" spans="1:14">
      <c r="A355" s="262" t="s">
        <v>1732</v>
      </c>
      <c r="B355" s="262">
        <v>1</v>
      </c>
      <c r="C355" s="262" t="s">
        <v>1733</v>
      </c>
      <c r="D355" s="262" t="s">
        <v>1734</v>
      </c>
      <c r="E355" s="262" t="s">
        <v>35</v>
      </c>
      <c r="F355" s="262" t="s">
        <v>35</v>
      </c>
      <c r="G355" s="264">
        <v>44403</v>
      </c>
      <c r="H355" s="271">
        <f t="shared" si="5"/>
        <v>4</v>
      </c>
      <c r="I355" s="264" t="s">
        <v>2335</v>
      </c>
      <c r="J355" s="262" t="s">
        <v>15</v>
      </c>
      <c r="K355" s="262" t="s">
        <v>15</v>
      </c>
      <c r="L355" s="262" t="s">
        <v>1453</v>
      </c>
      <c r="M355" s="262" t="s">
        <v>27</v>
      </c>
      <c r="N355" s="262" t="s">
        <v>2987</v>
      </c>
    </row>
    <row r="356" spans="1:14">
      <c r="A356" s="262" t="s">
        <v>1732</v>
      </c>
      <c r="B356" s="262">
        <v>1</v>
      </c>
      <c r="C356" s="262" t="s">
        <v>1733</v>
      </c>
      <c r="D356" s="262" t="s">
        <v>1734</v>
      </c>
      <c r="E356" s="262" t="s">
        <v>35</v>
      </c>
      <c r="F356" s="262" t="s">
        <v>35</v>
      </c>
      <c r="G356" s="264">
        <v>44403</v>
      </c>
      <c r="H356" s="271">
        <f t="shared" si="5"/>
        <v>4</v>
      </c>
      <c r="I356" s="264" t="s">
        <v>2335</v>
      </c>
      <c r="J356" s="262" t="s">
        <v>15</v>
      </c>
      <c r="K356" s="262" t="s">
        <v>15</v>
      </c>
      <c r="L356" s="262" t="s">
        <v>1453</v>
      </c>
      <c r="M356" s="262" t="s">
        <v>27</v>
      </c>
      <c r="N356" s="262" t="s">
        <v>2987</v>
      </c>
    </row>
    <row r="357" spans="1:14">
      <c r="A357" s="262" t="s">
        <v>1732</v>
      </c>
      <c r="B357" s="262">
        <v>1</v>
      </c>
      <c r="C357" s="262" t="s">
        <v>1733</v>
      </c>
      <c r="D357" s="262" t="s">
        <v>1734</v>
      </c>
      <c r="E357" s="262" t="s">
        <v>35</v>
      </c>
      <c r="F357" s="262" t="s">
        <v>35</v>
      </c>
      <c r="G357" s="264">
        <v>44403</v>
      </c>
      <c r="H357" s="271">
        <f t="shared" si="5"/>
        <v>4</v>
      </c>
      <c r="I357" s="264" t="s">
        <v>2335</v>
      </c>
      <c r="J357" s="262" t="s">
        <v>15</v>
      </c>
      <c r="K357" s="262" t="s">
        <v>15</v>
      </c>
      <c r="L357" s="262" t="s">
        <v>1453</v>
      </c>
      <c r="M357" s="262" t="s">
        <v>27</v>
      </c>
      <c r="N357" s="262" t="s">
        <v>2987</v>
      </c>
    </row>
    <row r="358" spans="1:14">
      <c r="A358" s="27" t="s">
        <v>1736</v>
      </c>
      <c r="B358" s="27">
        <v>1</v>
      </c>
      <c r="C358" s="27" t="s">
        <v>147</v>
      </c>
      <c r="D358" s="27" t="s">
        <v>1737</v>
      </c>
      <c r="E358" s="27" t="s">
        <v>1738</v>
      </c>
      <c r="F358" s="27" t="s">
        <v>2593</v>
      </c>
      <c r="G358" s="35">
        <v>44785</v>
      </c>
      <c r="H358" s="269">
        <f t="shared" ref="H358:H421" si="6">ABS(YEAR(G358)-2025)</f>
        <v>3</v>
      </c>
      <c r="I358" s="35" t="s">
        <v>2335</v>
      </c>
      <c r="J358" s="27" t="s">
        <v>151</v>
      </c>
      <c r="K358" s="43" t="s">
        <v>2244</v>
      </c>
      <c r="L358" s="27" t="s">
        <v>15</v>
      </c>
      <c r="M358" s="27"/>
      <c r="N358" s="27" t="s">
        <v>15</v>
      </c>
    </row>
    <row r="359" spans="1:14">
      <c r="A359" s="27" t="s">
        <v>1736</v>
      </c>
      <c r="B359" s="27">
        <v>1</v>
      </c>
      <c r="C359" s="27" t="s">
        <v>147</v>
      </c>
      <c r="D359" s="27" t="s">
        <v>1737</v>
      </c>
      <c r="E359" s="27" t="s">
        <v>1739</v>
      </c>
      <c r="F359" s="27" t="s">
        <v>2594</v>
      </c>
      <c r="G359" s="35">
        <v>44785</v>
      </c>
      <c r="H359" s="269">
        <f t="shared" si="6"/>
        <v>3</v>
      </c>
      <c r="I359" s="35" t="s">
        <v>2335</v>
      </c>
      <c r="J359" s="27" t="s">
        <v>151</v>
      </c>
      <c r="K359" s="43" t="s">
        <v>2292</v>
      </c>
      <c r="L359" s="27" t="s">
        <v>15</v>
      </c>
      <c r="M359" s="27"/>
      <c r="N359" s="27" t="s">
        <v>15</v>
      </c>
    </row>
    <row r="360" spans="1:14">
      <c r="A360" s="27" t="s">
        <v>1736</v>
      </c>
      <c r="B360" s="27">
        <v>1</v>
      </c>
      <c r="C360" s="27" t="s">
        <v>147</v>
      </c>
      <c r="D360" s="27" t="s">
        <v>1737</v>
      </c>
      <c r="E360" s="27" t="s">
        <v>1740</v>
      </c>
      <c r="F360" s="27" t="s">
        <v>2595</v>
      </c>
      <c r="G360" s="35">
        <v>44785</v>
      </c>
      <c r="H360" s="269">
        <f t="shared" si="6"/>
        <v>3</v>
      </c>
      <c r="I360" s="35" t="s">
        <v>2335</v>
      </c>
      <c r="J360" s="27" t="s">
        <v>151</v>
      </c>
      <c r="K360" s="43" t="s">
        <v>2285</v>
      </c>
      <c r="L360" s="27" t="s">
        <v>15</v>
      </c>
      <c r="M360" s="27"/>
      <c r="N360" s="27" t="s">
        <v>15</v>
      </c>
    </row>
    <row r="361" spans="1:14">
      <c r="A361" s="27" t="s">
        <v>1736</v>
      </c>
      <c r="B361" s="27">
        <v>1</v>
      </c>
      <c r="C361" s="27" t="s">
        <v>147</v>
      </c>
      <c r="D361" s="27" t="s">
        <v>1737</v>
      </c>
      <c r="E361" s="27" t="s">
        <v>1741</v>
      </c>
      <c r="F361" s="27" t="s">
        <v>2596</v>
      </c>
      <c r="G361" s="35">
        <v>44785</v>
      </c>
      <c r="H361" s="269">
        <f t="shared" si="6"/>
        <v>3</v>
      </c>
      <c r="I361" s="35" t="s">
        <v>2335</v>
      </c>
      <c r="J361" s="27" t="s">
        <v>151</v>
      </c>
      <c r="K361" s="43" t="s">
        <v>2233</v>
      </c>
      <c r="L361" s="27" t="s">
        <v>15</v>
      </c>
      <c r="M361" s="27"/>
      <c r="N361" s="27" t="s">
        <v>15</v>
      </c>
    </row>
    <row r="362" spans="1:14">
      <c r="A362" s="27" t="s">
        <v>1736</v>
      </c>
      <c r="B362" s="27">
        <v>1</v>
      </c>
      <c r="C362" s="27" t="s">
        <v>147</v>
      </c>
      <c r="D362" s="27" t="s">
        <v>1737</v>
      </c>
      <c r="E362" s="27" t="s">
        <v>1751</v>
      </c>
      <c r="F362" s="27" t="s">
        <v>2597</v>
      </c>
      <c r="G362" s="35">
        <v>44785</v>
      </c>
      <c r="H362" s="269">
        <f t="shared" si="6"/>
        <v>3</v>
      </c>
      <c r="I362" s="35" t="s">
        <v>2335</v>
      </c>
      <c r="J362" s="27" t="s">
        <v>151</v>
      </c>
      <c r="K362" s="43" t="s">
        <v>2302</v>
      </c>
      <c r="L362" s="27" t="s">
        <v>15</v>
      </c>
      <c r="M362" s="27"/>
      <c r="N362" s="27" t="s">
        <v>15</v>
      </c>
    </row>
    <row r="363" spans="1:14">
      <c r="A363" s="27" t="s">
        <v>1736</v>
      </c>
      <c r="B363" s="27">
        <v>1</v>
      </c>
      <c r="C363" s="27" t="s">
        <v>1675</v>
      </c>
      <c r="D363" s="27" t="s">
        <v>1748</v>
      </c>
      <c r="E363" s="27" t="s">
        <v>1749</v>
      </c>
      <c r="F363" s="27" t="s">
        <v>2598</v>
      </c>
      <c r="G363" s="35">
        <v>43717</v>
      </c>
      <c r="H363" s="269">
        <f t="shared" si="6"/>
        <v>6</v>
      </c>
      <c r="I363" s="35" t="s">
        <v>2335</v>
      </c>
      <c r="J363" s="27" t="s">
        <v>151</v>
      </c>
      <c r="K363" s="43" t="s">
        <v>2256</v>
      </c>
      <c r="L363" s="27" t="s">
        <v>15</v>
      </c>
      <c r="M363" s="27"/>
      <c r="N363" s="27" t="s">
        <v>15</v>
      </c>
    </row>
    <row r="364" spans="1:14">
      <c r="A364" s="27" t="s">
        <v>1736</v>
      </c>
      <c r="B364" s="27">
        <v>1</v>
      </c>
      <c r="C364" s="27" t="s">
        <v>1675</v>
      </c>
      <c r="D364" s="27" t="s">
        <v>1748</v>
      </c>
      <c r="E364" s="27" t="s">
        <v>1756</v>
      </c>
      <c r="F364" s="27" t="s">
        <v>2599</v>
      </c>
      <c r="G364" s="35">
        <v>43717</v>
      </c>
      <c r="H364" s="269">
        <f t="shared" si="6"/>
        <v>6</v>
      </c>
      <c r="I364" s="35" t="s">
        <v>2335</v>
      </c>
      <c r="J364" s="27" t="s">
        <v>151</v>
      </c>
      <c r="K364" s="43" t="s">
        <v>2257</v>
      </c>
      <c r="L364" s="27" t="s">
        <v>15</v>
      </c>
      <c r="M364" s="27"/>
      <c r="N364" s="27" t="s">
        <v>15</v>
      </c>
    </row>
    <row r="365" spans="1:14">
      <c r="A365" s="27" t="s">
        <v>1736</v>
      </c>
      <c r="B365" s="27">
        <v>1</v>
      </c>
      <c r="C365" s="27" t="s">
        <v>1675</v>
      </c>
      <c r="D365" s="27" t="s">
        <v>1748</v>
      </c>
      <c r="E365" s="27" t="s">
        <v>1762</v>
      </c>
      <c r="F365" s="27" t="s">
        <v>2600</v>
      </c>
      <c r="G365" s="34">
        <v>43717</v>
      </c>
      <c r="H365" s="341">
        <f t="shared" si="6"/>
        <v>6</v>
      </c>
      <c r="I365" s="34" t="s">
        <v>2335</v>
      </c>
      <c r="J365" s="27" t="s">
        <v>151</v>
      </c>
      <c r="K365" s="43" t="s">
        <v>2268</v>
      </c>
      <c r="L365" s="27" t="s">
        <v>15</v>
      </c>
      <c r="M365" s="27"/>
      <c r="N365" s="27" t="s">
        <v>15</v>
      </c>
    </row>
    <row r="366" spans="1:14">
      <c r="A366" s="317" t="s">
        <v>1736</v>
      </c>
      <c r="B366" s="317">
        <v>1</v>
      </c>
      <c r="C366" s="317" t="s">
        <v>1529</v>
      </c>
      <c r="D366" s="317" t="s">
        <v>1744</v>
      </c>
      <c r="E366" s="317" t="s">
        <v>1745</v>
      </c>
      <c r="F366" s="317" t="s">
        <v>2601</v>
      </c>
      <c r="G366" s="320">
        <v>43728</v>
      </c>
      <c r="H366" s="321">
        <f t="shared" si="6"/>
        <v>6</v>
      </c>
      <c r="I366" s="320" t="s">
        <v>2336</v>
      </c>
      <c r="J366" s="317" t="s">
        <v>151</v>
      </c>
      <c r="K366" s="329" t="s">
        <v>2182</v>
      </c>
      <c r="L366" s="317" t="s">
        <v>15</v>
      </c>
      <c r="M366" s="317"/>
      <c r="N366" s="317" t="s">
        <v>15</v>
      </c>
    </row>
    <row r="367" spans="1:14">
      <c r="A367" s="317" t="s">
        <v>1736</v>
      </c>
      <c r="B367" s="317">
        <v>1</v>
      </c>
      <c r="C367" s="317" t="s">
        <v>1529</v>
      </c>
      <c r="D367" s="317" t="s">
        <v>1742</v>
      </c>
      <c r="E367" s="317" t="s">
        <v>15</v>
      </c>
      <c r="F367" s="332" t="s">
        <v>2879</v>
      </c>
      <c r="G367" s="320">
        <v>43728</v>
      </c>
      <c r="H367" s="321">
        <f t="shared" si="6"/>
        <v>6</v>
      </c>
      <c r="I367" s="320" t="s">
        <v>2336</v>
      </c>
      <c r="J367" s="317" t="s">
        <v>151</v>
      </c>
      <c r="K367" s="329" t="s">
        <v>2182</v>
      </c>
      <c r="L367" s="317" t="s">
        <v>15</v>
      </c>
      <c r="M367" s="317"/>
      <c r="N367" s="317" t="s">
        <v>15</v>
      </c>
    </row>
    <row r="368" spans="1:14">
      <c r="A368" s="262" t="s">
        <v>1736</v>
      </c>
      <c r="B368" s="262">
        <v>1</v>
      </c>
      <c r="C368" s="262" t="s">
        <v>1529</v>
      </c>
      <c r="D368" s="262" t="s">
        <v>1742</v>
      </c>
      <c r="E368" s="262" t="s">
        <v>1759</v>
      </c>
      <c r="F368" s="262" t="s">
        <v>2602</v>
      </c>
      <c r="G368" s="264">
        <v>43728</v>
      </c>
      <c r="H368" s="271">
        <f t="shared" si="6"/>
        <v>6</v>
      </c>
      <c r="I368" s="264" t="s">
        <v>2336</v>
      </c>
      <c r="J368" s="262" t="s">
        <v>151</v>
      </c>
      <c r="K368" s="330" t="s">
        <v>2262</v>
      </c>
      <c r="L368" s="262" t="s">
        <v>1453</v>
      </c>
      <c r="M368" s="262"/>
      <c r="N368" s="262" t="s">
        <v>15</v>
      </c>
    </row>
    <row r="369" spans="1:14">
      <c r="A369" s="317" t="s">
        <v>1736</v>
      </c>
      <c r="B369" s="317">
        <v>1</v>
      </c>
      <c r="C369" s="317" t="s">
        <v>1529</v>
      </c>
      <c r="D369" s="317" t="s">
        <v>1742</v>
      </c>
      <c r="E369" s="317" t="s">
        <v>1763</v>
      </c>
      <c r="F369" s="317" t="s">
        <v>2603</v>
      </c>
      <c r="G369" s="320">
        <v>43728</v>
      </c>
      <c r="H369" s="321">
        <f t="shared" si="6"/>
        <v>6</v>
      </c>
      <c r="I369" s="320" t="s">
        <v>2336</v>
      </c>
      <c r="J369" s="317" t="s">
        <v>151</v>
      </c>
      <c r="K369" s="329" t="s">
        <v>2182</v>
      </c>
      <c r="L369" s="317" t="s">
        <v>15</v>
      </c>
      <c r="M369" s="317"/>
      <c r="N369" s="317" t="s">
        <v>15</v>
      </c>
    </row>
    <row r="370" spans="1:14">
      <c r="A370" s="317" t="s">
        <v>1736</v>
      </c>
      <c r="B370" s="317">
        <v>1</v>
      </c>
      <c r="C370" s="317" t="s">
        <v>1529</v>
      </c>
      <c r="D370" s="317" t="s">
        <v>1742</v>
      </c>
      <c r="E370" s="317" t="s">
        <v>1764</v>
      </c>
      <c r="F370" s="317" t="s">
        <v>2604</v>
      </c>
      <c r="G370" s="320">
        <v>43728</v>
      </c>
      <c r="H370" s="321">
        <f t="shared" si="6"/>
        <v>6</v>
      </c>
      <c r="I370" s="320" t="s">
        <v>2336</v>
      </c>
      <c r="J370" s="317" t="s">
        <v>151</v>
      </c>
      <c r="K370" s="329" t="s">
        <v>2182</v>
      </c>
      <c r="L370" s="317" t="s">
        <v>15</v>
      </c>
      <c r="M370" s="317"/>
      <c r="N370" s="317" t="s">
        <v>15</v>
      </c>
    </row>
    <row r="371" spans="1:14">
      <c r="A371" s="317" t="s">
        <v>1736</v>
      </c>
      <c r="B371" s="317">
        <v>1</v>
      </c>
      <c r="C371" s="317" t="s">
        <v>1529</v>
      </c>
      <c r="D371" s="317" t="s">
        <v>1742</v>
      </c>
      <c r="E371" s="317" t="s">
        <v>1743</v>
      </c>
      <c r="F371" s="317" t="s">
        <v>2605</v>
      </c>
      <c r="G371" s="320">
        <v>43728</v>
      </c>
      <c r="H371" s="321">
        <f t="shared" si="6"/>
        <v>6</v>
      </c>
      <c r="I371" s="320" t="s">
        <v>2336</v>
      </c>
      <c r="J371" s="317" t="s">
        <v>151</v>
      </c>
      <c r="K371" s="329" t="s">
        <v>2317</v>
      </c>
      <c r="L371" s="317" t="s">
        <v>15</v>
      </c>
      <c r="M371" s="317"/>
      <c r="N371" s="317" t="s">
        <v>15</v>
      </c>
    </row>
    <row r="372" spans="1:14">
      <c r="A372" s="317" t="s">
        <v>1736</v>
      </c>
      <c r="B372" s="317">
        <v>1</v>
      </c>
      <c r="C372" s="317" t="s">
        <v>1529</v>
      </c>
      <c r="D372" s="317" t="s">
        <v>1742</v>
      </c>
      <c r="E372" s="317" t="s">
        <v>1750</v>
      </c>
      <c r="F372" s="317" t="s">
        <v>2606</v>
      </c>
      <c r="G372" s="320">
        <v>43728</v>
      </c>
      <c r="H372" s="321">
        <f t="shared" si="6"/>
        <v>6</v>
      </c>
      <c r="I372" s="320" t="s">
        <v>2336</v>
      </c>
      <c r="J372" s="317" t="s">
        <v>151</v>
      </c>
      <c r="K372" s="329" t="s">
        <v>2311</v>
      </c>
      <c r="L372" s="317" t="s">
        <v>15</v>
      </c>
      <c r="M372" s="317"/>
      <c r="N372" s="317" t="s">
        <v>15</v>
      </c>
    </row>
    <row r="373" spans="1:14">
      <c r="A373" s="317" t="s">
        <v>1736</v>
      </c>
      <c r="B373" s="317">
        <v>1</v>
      </c>
      <c r="C373" s="317" t="s">
        <v>1529</v>
      </c>
      <c r="D373" s="317" t="s">
        <v>1742</v>
      </c>
      <c r="E373" s="317" t="s">
        <v>1752</v>
      </c>
      <c r="F373" s="317" t="s">
        <v>2607</v>
      </c>
      <c r="G373" s="320">
        <v>43728</v>
      </c>
      <c r="H373" s="321">
        <f t="shared" si="6"/>
        <v>6</v>
      </c>
      <c r="I373" s="320" t="s">
        <v>2336</v>
      </c>
      <c r="J373" s="317" t="s">
        <v>151</v>
      </c>
      <c r="K373" s="329" t="s">
        <v>2318</v>
      </c>
      <c r="L373" s="317" t="s">
        <v>15</v>
      </c>
      <c r="M373" s="317"/>
      <c r="N373" s="317" t="s">
        <v>15</v>
      </c>
    </row>
    <row r="374" spans="1:14">
      <c r="A374" s="317" t="s">
        <v>1736</v>
      </c>
      <c r="B374" s="317">
        <v>1</v>
      </c>
      <c r="C374" s="317" t="s">
        <v>1529</v>
      </c>
      <c r="D374" s="317" t="s">
        <v>1742</v>
      </c>
      <c r="E374" s="317" t="s">
        <v>1753</v>
      </c>
      <c r="F374" s="317" t="s">
        <v>2608</v>
      </c>
      <c r="G374" s="320">
        <v>43728</v>
      </c>
      <c r="H374" s="321">
        <f t="shared" si="6"/>
        <v>6</v>
      </c>
      <c r="I374" s="320" t="s">
        <v>2336</v>
      </c>
      <c r="J374" s="317" t="s">
        <v>151</v>
      </c>
      <c r="K374" s="329" t="s">
        <v>2315</v>
      </c>
      <c r="L374" s="317" t="s">
        <v>15</v>
      </c>
      <c r="M374" s="317"/>
      <c r="N374" s="317" t="s">
        <v>15</v>
      </c>
    </row>
    <row r="375" spans="1:14">
      <c r="A375" s="317" t="s">
        <v>1736</v>
      </c>
      <c r="B375" s="317">
        <v>1</v>
      </c>
      <c r="C375" s="317" t="s">
        <v>1529</v>
      </c>
      <c r="D375" s="317" t="s">
        <v>1742</v>
      </c>
      <c r="E375" s="317" t="s">
        <v>1754</v>
      </c>
      <c r="F375" s="317" t="s">
        <v>2609</v>
      </c>
      <c r="G375" s="320">
        <v>43728</v>
      </c>
      <c r="H375" s="321">
        <f t="shared" si="6"/>
        <v>6</v>
      </c>
      <c r="I375" s="320" t="s">
        <v>2336</v>
      </c>
      <c r="J375" s="317" t="s">
        <v>151</v>
      </c>
      <c r="K375" s="329" t="s">
        <v>2309</v>
      </c>
      <c r="L375" s="317" t="s">
        <v>15</v>
      </c>
      <c r="M375" s="317"/>
      <c r="N375" s="317" t="s">
        <v>15</v>
      </c>
    </row>
    <row r="376" spans="1:14">
      <c r="A376" s="317" t="s">
        <v>1736</v>
      </c>
      <c r="B376" s="317">
        <v>1</v>
      </c>
      <c r="C376" s="317" t="s">
        <v>1529</v>
      </c>
      <c r="D376" s="317" t="s">
        <v>1742</v>
      </c>
      <c r="E376" s="317" t="s">
        <v>1755</v>
      </c>
      <c r="F376" s="317" t="s">
        <v>2610</v>
      </c>
      <c r="G376" s="320">
        <v>43728</v>
      </c>
      <c r="H376" s="321">
        <f t="shared" si="6"/>
        <v>6</v>
      </c>
      <c r="I376" s="320" t="s">
        <v>2336</v>
      </c>
      <c r="J376" s="317" t="s">
        <v>151</v>
      </c>
      <c r="K376" s="329" t="s">
        <v>2296</v>
      </c>
      <c r="L376" s="317" t="s">
        <v>15</v>
      </c>
      <c r="M376" s="317"/>
      <c r="N376" s="317" t="s">
        <v>15</v>
      </c>
    </row>
    <row r="377" spans="1:14">
      <c r="A377" s="317" t="s">
        <v>1736</v>
      </c>
      <c r="B377" s="317">
        <v>1</v>
      </c>
      <c r="C377" s="317" t="s">
        <v>1529</v>
      </c>
      <c r="D377" s="317" t="s">
        <v>1742</v>
      </c>
      <c r="E377" s="317" t="s">
        <v>15</v>
      </c>
      <c r="F377" s="332" t="s">
        <v>2880</v>
      </c>
      <c r="G377" s="320">
        <v>43728</v>
      </c>
      <c r="H377" s="321">
        <f t="shared" si="6"/>
        <v>6</v>
      </c>
      <c r="I377" s="320" t="s">
        <v>2336</v>
      </c>
      <c r="J377" s="317" t="s">
        <v>151</v>
      </c>
      <c r="K377" s="329" t="s">
        <v>2316</v>
      </c>
      <c r="L377" s="317" t="s">
        <v>15</v>
      </c>
      <c r="M377" s="317"/>
      <c r="N377" s="317" t="s">
        <v>15</v>
      </c>
    </row>
    <row r="378" spans="1:14">
      <c r="A378" s="317" t="s">
        <v>1736</v>
      </c>
      <c r="B378" s="317">
        <v>1</v>
      </c>
      <c r="C378" s="317" t="s">
        <v>1529</v>
      </c>
      <c r="D378" s="317" t="s">
        <v>1742</v>
      </c>
      <c r="E378" s="317" t="s">
        <v>1760</v>
      </c>
      <c r="F378" s="317" t="s">
        <v>2611</v>
      </c>
      <c r="G378" s="320">
        <v>43728</v>
      </c>
      <c r="H378" s="321">
        <f t="shared" si="6"/>
        <v>6</v>
      </c>
      <c r="I378" s="320" t="s">
        <v>2336</v>
      </c>
      <c r="J378" s="317" t="s">
        <v>151</v>
      </c>
      <c r="K378" s="329" t="s">
        <v>2314</v>
      </c>
      <c r="L378" s="317" t="s">
        <v>15</v>
      </c>
      <c r="M378" s="317"/>
      <c r="N378" s="317" t="s">
        <v>15</v>
      </c>
    </row>
    <row r="379" spans="1:14">
      <c r="A379" s="317" t="s">
        <v>1736</v>
      </c>
      <c r="B379" s="317">
        <v>1</v>
      </c>
      <c r="C379" s="317" t="s">
        <v>1529</v>
      </c>
      <c r="D379" s="317" t="s">
        <v>1742</v>
      </c>
      <c r="E379" s="317" t="s">
        <v>1761</v>
      </c>
      <c r="F379" s="317" t="s">
        <v>2612</v>
      </c>
      <c r="G379" s="320">
        <v>43728</v>
      </c>
      <c r="H379" s="321">
        <f t="shared" si="6"/>
        <v>6</v>
      </c>
      <c r="I379" s="320" t="s">
        <v>2336</v>
      </c>
      <c r="J379" s="317" t="s">
        <v>151</v>
      </c>
      <c r="K379" s="329" t="s">
        <v>2287</v>
      </c>
      <c r="L379" s="317" t="s">
        <v>15</v>
      </c>
      <c r="M379" s="317"/>
      <c r="N379" s="317" t="s">
        <v>15</v>
      </c>
    </row>
    <row r="380" spans="1:14">
      <c r="A380" s="317" t="s">
        <v>1736</v>
      </c>
      <c r="B380" s="317">
        <v>1</v>
      </c>
      <c r="C380" s="317" t="s">
        <v>1529</v>
      </c>
      <c r="D380" s="317" t="s">
        <v>1757</v>
      </c>
      <c r="E380" s="317" t="s">
        <v>1758</v>
      </c>
      <c r="F380" s="317" t="s">
        <v>2613</v>
      </c>
      <c r="G380" s="320">
        <v>43728</v>
      </c>
      <c r="H380" s="321">
        <f t="shared" si="6"/>
        <v>6</v>
      </c>
      <c r="I380" s="320" t="s">
        <v>2336</v>
      </c>
      <c r="J380" s="317" t="s">
        <v>151</v>
      </c>
      <c r="K380" s="329" t="s">
        <v>2313</v>
      </c>
      <c r="L380" s="317" t="s">
        <v>15</v>
      </c>
      <c r="M380" s="317"/>
      <c r="N380" s="317" t="s">
        <v>15</v>
      </c>
    </row>
    <row r="381" spans="1:14">
      <c r="A381" s="317" t="s">
        <v>1736</v>
      </c>
      <c r="B381" s="317">
        <v>1</v>
      </c>
      <c r="C381" s="317" t="s">
        <v>1529</v>
      </c>
      <c r="D381" s="317" t="s">
        <v>1757</v>
      </c>
      <c r="E381" s="317" t="s">
        <v>1766</v>
      </c>
      <c r="F381" s="317" t="s">
        <v>2614</v>
      </c>
      <c r="G381" s="320">
        <v>43728</v>
      </c>
      <c r="H381" s="321">
        <f t="shared" si="6"/>
        <v>6</v>
      </c>
      <c r="I381" s="320" t="s">
        <v>2336</v>
      </c>
      <c r="J381" s="317" t="s">
        <v>151</v>
      </c>
      <c r="K381" s="329" t="s">
        <v>2297</v>
      </c>
      <c r="L381" s="317" t="s">
        <v>15</v>
      </c>
      <c r="M381" s="317"/>
      <c r="N381" s="317" t="s">
        <v>15</v>
      </c>
    </row>
    <row r="382" spans="1:14">
      <c r="A382" s="27" t="s">
        <v>1736</v>
      </c>
      <c r="B382" s="27">
        <v>1</v>
      </c>
      <c r="C382" s="27" t="s">
        <v>793</v>
      </c>
      <c r="D382" s="27" t="s">
        <v>1767</v>
      </c>
      <c r="E382" s="27" t="s">
        <v>2288</v>
      </c>
      <c r="F382" s="27" t="s">
        <v>2615</v>
      </c>
      <c r="G382" s="35">
        <v>45212</v>
      </c>
      <c r="H382" s="269">
        <f t="shared" si="6"/>
        <v>2</v>
      </c>
      <c r="I382" s="35" t="s">
        <v>2335</v>
      </c>
      <c r="J382" s="27" t="s">
        <v>151</v>
      </c>
      <c r="K382" s="43" t="s">
        <v>2290</v>
      </c>
      <c r="L382" s="27" t="s">
        <v>15</v>
      </c>
      <c r="M382" s="27"/>
      <c r="N382" s="27" t="s">
        <v>15</v>
      </c>
    </row>
    <row r="383" spans="1:14">
      <c r="A383" s="27" t="s">
        <v>1736</v>
      </c>
      <c r="B383" s="27">
        <v>1</v>
      </c>
      <c r="C383" s="27" t="s">
        <v>793</v>
      </c>
      <c r="D383" s="27" t="s">
        <v>1767</v>
      </c>
      <c r="E383" s="27" t="s">
        <v>2289</v>
      </c>
      <c r="F383" s="27" t="s">
        <v>2616</v>
      </c>
      <c r="G383" s="35">
        <v>45212</v>
      </c>
      <c r="H383" s="269">
        <f t="shared" si="6"/>
        <v>2</v>
      </c>
      <c r="I383" s="35" t="s">
        <v>2335</v>
      </c>
      <c r="J383" s="27" t="s">
        <v>151</v>
      </c>
      <c r="K383" s="43" t="s">
        <v>2291</v>
      </c>
      <c r="L383" s="27" t="s">
        <v>15</v>
      </c>
      <c r="M383" s="27"/>
      <c r="N383" s="27" t="s">
        <v>15</v>
      </c>
    </row>
    <row r="384" spans="1:14">
      <c r="A384" s="27" t="s">
        <v>1736</v>
      </c>
      <c r="B384" s="27">
        <v>1</v>
      </c>
      <c r="C384" s="27" t="s">
        <v>793</v>
      </c>
      <c r="D384" s="27" t="s">
        <v>1767</v>
      </c>
      <c r="E384" s="27" t="s">
        <v>2293</v>
      </c>
      <c r="F384" s="27" t="s">
        <v>2617</v>
      </c>
      <c r="G384" s="35">
        <v>45212</v>
      </c>
      <c r="H384" s="269">
        <f t="shared" si="6"/>
        <v>2</v>
      </c>
      <c r="I384" s="35" t="s">
        <v>2335</v>
      </c>
      <c r="J384" s="27" t="s">
        <v>151</v>
      </c>
      <c r="K384" s="43" t="s">
        <v>2294</v>
      </c>
      <c r="L384" s="27" t="s">
        <v>15</v>
      </c>
      <c r="M384" s="27"/>
      <c r="N384" s="27" t="s">
        <v>15</v>
      </c>
    </row>
    <row r="385" spans="1:14">
      <c r="A385" s="27" t="s">
        <v>1736</v>
      </c>
      <c r="B385" s="27">
        <v>1</v>
      </c>
      <c r="C385" s="27" t="s">
        <v>793</v>
      </c>
      <c r="D385" s="27" t="s">
        <v>1767</v>
      </c>
      <c r="E385" s="27" t="s">
        <v>2295</v>
      </c>
      <c r="F385" s="27" t="s">
        <v>2618</v>
      </c>
      <c r="G385" s="35">
        <v>45212</v>
      </c>
      <c r="H385" s="269">
        <f t="shared" si="6"/>
        <v>2</v>
      </c>
      <c r="I385" s="35" t="s">
        <v>2335</v>
      </c>
      <c r="J385" s="27" t="s">
        <v>151</v>
      </c>
      <c r="K385" s="43" t="s">
        <v>2294</v>
      </c>
      <c r="L385" s="27" t="s">
        <v>15</v>
      </c>
      <c r="M385" s="27"/>
      <c r="N385" s="27" t="s">
        <v>15</v>
      </c>
    </row>
    <row r="386" spans="1:14">
      <c r="A386" s="27" t="s">
        <v>1736</v>
      </c>
      <c r="B386" s="27">
        <v>1</v>
      </c>
      <c r="C386" s="27" t="s">
        <v>793</v>
      </c>
      <c r="D386" s="27" t="s">
        <v>1767</v>
      </c>
      <c r="E386" s="27" t="s">
        <v>2305</v>
      </c>
      <c r="F386" s="27" t="s">
        <v>2619</v>
      </c>
      <c r="G386" s="35">
        <v>45212</v>
      </c>
      <c r="H386" s="269">
        <f t="shared" si="6"/>
        <v>2</v>
      </c>
      <c r="I386" s="35" t="s">
        <v>2335</v>
      </c>
      <c r="J386" s="27" t="s">
        <v>151</v>
      </c>
      <c r="K386" s="43" t="s">
        <v>2306</v>
      </c>
      <c r="L386" s="27" t="s">
        <v>15</v>
      </c>
      <c r="M386" s="27"/>
      <c r="N386" s="27" t="s">
        <v>15</v>
      </c>
    </row>
    <row r="387" spans="1:14">
      <c r="A387" s="27" t="s">
        <v>1736</v>
      </c>
      <c r="B387" s="27">
        <v>1</v>
      </c>
      <c r="C387" s="27" t="s">
        <v>793</v>
      </c>
      <c r="D387" s="27" t="s">
        <v>1767</v>
      </c>
      <c r="E387" s="27" t="s">
        <v>2307</v>
      </c>
      <c r="F387" s="27" t="s">
        <v>2620</v>
      </c>
      <c r="G387" s="35">
        <v>45212</v>
      </c>
      <c r="H387" s="269">
        <f t="shared" si="6"/>
        <v>2</v>
      </c>
      <c r="I387" s="35" t="s">
        <v>2335</v>
      </c>
      <c r="J387" s="27" t="s">
        <v>151</v>
      </c>
      <c r="K387" s="43" t="s">
        <v>2308</v>
      </c>
      <c r="L387" s="27" t="s">
        <v>15</v>
      </c>
      <c r="M387" s="27"/>
      <c r="N387" s="27" t="s">
        <v>15</v>
      </c>
    </row>
    <row r="388" spans="1:14">
      <c r="A388" s="27" t="s">
        <v>1736</v>
      </c>
      <c r="B388" s="27">
        <v>1</v>
      </c>
      <c r="C388" s="27" t="s">
        <v>793</v>
      </c>
      <c r="D388" s="27" t="s">
        <v>1767</v>
      </c>
      <c r="E388" s="27" t="s">
        <v>2310</v>
      </c>
      <c r="F388" s="27" t="s">
        <v>2621</v>
      </c>
      <c r="G388" s="35">
        <v>45212</v>
      </c>
      <c r="H388" s="269">
        <f t="shared" si="6"/>
        <v>2</v>
      </c>
      <c r="I388" s="35" t="s">
        <v>2335</v>
      </c>
      <c r="J388" s="27" t="s">
        <v>151</v>
      </c>
      <c r="K388" s="43" t="s">
        <v>2225</v>
      </c>
      <c r="L388" s="27" t="s">
        <v>15</v>
      </c>
      <c r="M388" s="27"/>
      <c r="N388" s="27" t="s">
        <v>15</v>
      </c>
    </row>
    <row r="389" spans="1:14">
      <c r="A389" s="27" t="s">
        <v>1736</v>
      </c>
      <c r="B389" s="27">
        <v>1</v>
      </c>
      <c r="C389" s="27" t="s">
        <v>1532</v>
      </c>
      <c r="D389" s="27" t="s">
        <v>1768</v>
      </c>
      <c r="E389" s="27" t="s">
        <v>1769</v>
      </c>
      <c r="F389" s="27" t="s">
        <v>2622</v>
      </c>
      <c r="G389" s="35">
        <v>43728</v>
      </c>
      <c r="H389" s="269">
        <f t="shared" si="6"/>
        <v>6</v>
      </c>
      <c r="I389" s="35" t="s">
        <v>2335</v>
      </c>
      <c r="J389" s="27" t="s">
        <v>151</v>
      </c>
      <c r="K389" s="43" t="s">
        <v>2303</v>
      </c>
      <c r="L389" s="27" t="s">
        <v>15</v>
      </c>
      <c r="M389" s="27"/>
      <c r="N389" s="27" t="s">
        <v>15</v>
      </c>
    </row>
    <row r="390" spans="1:14">
      <c r="A390" s="27" t="s">
        <v>1736</v>
      </c>
      <c r="B390" s="27">
        <v>1</v>
      </c>
      <c r="C390" s="27" t="s">
        <v>1532</v>
      </c>
      <c r="D390" s="27" t="s">
        <v>1768</v>
      </c>
      <c r="E390" s="27" t="s">
        <v>1770</v>
      </c>
      <c r="F390" s="27" t="s">
        <v>2623</v>
      </c>
      <c r="G390" s="35">
        <v>43728</v>
      </c>
      <c r="H390" s="269">
        <f t="shared" si="6"/>
        <v>6</v>
      </c>
      <c r="I390" s="35" t="s">
        <v>2335</v>
      </c>
      <c r="J390" s="27" t="s">
        <v>151</v>
      </c>
      <c r="K390" s="43" t="s">
        <v>2308</v>
      </c>
      <c r="L390" s="27" t="s">
        <v>15</v>
      </c>
      <c r="M390" s="27"/>
      <c r="N390" s="27" t="s">
        <v>15</v>
      </c>
    </row>
    <row r="391" spans="1:14">
      <c r="A391" s="27" t="s">
        <v>1736</v>
      </c>
      <c r="B391" s="27">
        <v>1</v>
      </c>
      <c r="C391" s="27" t="s">
        <v>1532</v>
      </c>
      <c r="D391" s="27" t="s">
        <v>1768</v>
      </c>
      <c r="E391" s="27" t="s">
        <v>1771</v>
      </c>
      <c r="F391" s="27" t="s">
        <v>2624</v>
      </c>
      <c r="G391" s="35">
        <v>43728</v>
      </c>
      <c r="H391" s="269">
        <f t="shared" si="6"/>
        <v>6</v>
      </c>
      <c r="I391" s="35" t="s">
        <v>2335</v>
      </c>
      <c r="J391" s="27" t="s">
        <v>151</v>
      </c>
      <c r="K391" s="43" t="s">
        <v>2301</v>
      </c>
      <c r="L391" s="27" t="s">
        <v>15</v>
      </c>
      <c r="M391" s="27"/>
      <c r="N391" s="27" t="s">
        <v>15</v>
      </c>
    </row>
    <row r="392" spans="1:14">
      <c r="A392" s="27" t="s">
        <v>1736</v>
      </c>
      <c r="B392" s="27">
        <v>1</v>
      </c>
      <c r="C392" s="27" t="s">
        <v>1532</v>
      </c>
      <c r="D392" s="27" t="s">
        <v>1768</v>
      </c>
      <c r="E392" s="27" t="s">
        <v>1773</v>
      </c>
      <c r="F392" s="27" t="s">
        <v>2625</v>
      </c>
      <c r="G392" s="35">
        <v>43728</v>
      </c>
      <c r="H392" s="269">
        <f t="shared" si="6"/>
        <v>6</v>
      </c>
      <c r="I392" s="35" t="s">
        <v>2335</v>
      </c>
      <c r="J392" s="27" t="s">
        <v>151</v>
      </c>
      <c r="K392" s="43" t="s">
        <v>2276</v>
      </c>
      <c r="L392" s="27" t="s">
        <v>15</v>
      </c>
      <c r="M392" s="27"/>
      <c r="N392" s="27" t="s">
        <v>15</v>
      </c>
    </row>
    <row r="393" spans="1:14">
      <c r="A393" s="27" t="s">
        <v>1736</v>
      </c>
      <c r="B393" s="27">
        <v>1</v>
      </c>
      <c r="C393" s="27" t="s">
        <v>1532</v>
      </c>
      <c r="D393" s="27" t="s">
        <v>1768</v>
      </c>
      <c r="E393" s="27" t="s">
        <v>1774</v>
      </c>
      <c r="F393" s="27" t="s">
        <v>2626</v>
      </c>
      <c r="G393" s="35">
        <v>43728</v>
      </c>
      <c r="H393" s="269">
        <f t="shared" si="6"/>
        <v>6</v>
      </c>
      <c r="I393" s="35" t="s">
        <v>2335</v>
      </c>
      <c r="J393" s="27" t="s">
        <v>151</v>
      </c>
      <c r="K393" s="43" t="s">
        <v>2296</v>
      </c>
      <c r="L393" s="27" t="s">
        <v>15</v>
      </c>
      <c r="M393" s="27"/>
      <c r="N393" s="27" t="s">
        <v>15</v>
      </c>
    </row>
    <row r="394" spans="1:14">
      <c r="A394" s="27" t="s">
        <v>1736</v>
      </c>
      <c r="B394" s="27">
        <v>1</v>
      </c>
      <c r="C394" s="27" t="s">
        <v>1532</v>
      </c>
      <c r="D394" s="27" t="s">
        <v>1768</v>
      </c>
      <c r="E394" s="27" t="s">
        <v>1775</v>
      </c>
      <c r="F394" s="27" t="s">
        <v>2627</v>
      </c>
      <c r="G394" s="35">
        <v>43728</v>
      </c>
      <c r="H394" s="269">
        <f t="shared" si="6"/>
        <v>6</v>
      </c>
      <c r="I394" s="35" t="s">
        <v>2335</v>
      </c>
      <c r="J394" s="27" t="s">
        <v>151</v>
      </c>
      <c r="K394" s="43" t="s">
        <v>2304</v>
      </c>
      <c r="L394" s="27" t="s">
        <v>15</v>
      </c>
      <c r="M394" s="27"/>
      <c r="N394" s="27" t="s">
        <v>15</v>
      </c>
    </row>
    <row r="395" spans="1:14">
      <c r="A395" s="27" t="s">
        <v>1736</v>
      </c>
      <c r="B395" s="27">
        <v>1</v>
      </c>
      <c r="C395" s="27" t="s">
        <v>1532</v>
      </c>
      <c r="D395" s="27" t="s">
        <v>1768</v>
      </c>
      <c r="E395" s="27" t="s">
        <v>1776</v>
      </c>
      <c r="F395" s="27" t="s">
        <v>2628</v>
      </c>
      <c r="G395" s="35">
        <v>43728</v>
      </c>
      <c r="H395" s="269">
        <f t="shared" si="6"/>
        <v>6</v>
      </c>
      <c r="I395" s="35" t="s">
        <v>2335</v>
      </c>
      <c r="J395" s="27" t="s">
        <v>151</v>
      </c>
      <c r="K395" s="43" t="s">
        <v>2300</v>
      </c>
      <c r="L395" s="27" t="s">
        <v>15</v>
      </c>
      <c r="M395" s="27"/>
      <c r="N395" s="27" t="s">
        <v>15</v>
      </c>
    </row>
    <row r="396" spans="1:14">
      <c r="A396" s="27" t="s">
        <v>1736</v>
      </c>
      <c r="B396" s="27">
        <v>1</v>
      </c>
      <c r="C396" s="27" t="s">
        <v>1532</v>
      </c>
      <c r="D396" s="27" t="s">
        <v>1768</v>
      </c>
      <c r="E396" s="27" t="s">
        <v>1777</v>
      </c>
      <c r="F396" s="27" t="s">
        <v>2629</v>
      </c>
      <c r="G396" s="35">
        <v>43728</v>
      </c>
      <c r="H396" s="269">
        <f t="shared" si="6"/>
        <v>6</v>
      </c>
      <c r="I396" s="35" t="s">
        <v>2335</v>
      </c>
      <c r="J396" s="27" t="s">
        <v>151</v>
      </c>
      <c r="K396" s="43" t="s">
        <v>2299</v>
      </c>
      <c r="L396" s="27" t="s">
        <v>15</v>
      </c>
      <c r="M396" s="27"/>
      <c r="N396" s="27" t="s">
        <v>15</v>
      </c>
    </row>
    <row r="397" spans="1:14">
      <c r="A397" s="27" t="s">
        <v>1736</v>
      </c>
      <c r="B397" s="27">
        <v>1</v>
      </c>
      <c r="C397" s="27" t="s">
        <v>1532</v>
      </c>
      <c r="D397" s="27" t="s">
        <v>1768</v>
      </c>
      <c r="E397" s="27" t="s">
        <v>1778</v>
      </c>
      <c r="F397" s="27" t="s">
        <v>2630</v>
      </c>
      <c r="G397" s="35">
        <v>43728</v>
      </c>
      <c r="H397" s="269">
        <f t="shared" si="6"/>
        <v>6</v>
      </c>
      <c r="I397" s="35" t="s">
        <v>2335</v>
      </c>
      <c r="J397" s="27" t="s">
        <v>151</v>
      </c>
      <c r="K397" s="43" t="s">
        <v>2298</v>
      </c>
      <c r="L397" s="27" t="s">
        <v>15</v>
      </c>
      <c r="M397" s="27"/>
      <c r="N397" s="27" t="s">
        <v>15</v>
      </c>
    </row>
    <row r="398" spans="1:14">
      <c r="A398" s="27" t="s">
        <v>1736</v>
      </c>
      <c r="B398" s="27">
        <v>1</v>
      </c>
      <c r="C398" s="27" t="s">
        <v>1532</v>
      </c>
      <c r="D398" s="27" t="s">
        <v>1768</v>
      </c>
      <c r="E398" s="27" t="s">
        <v>1779</v>
      </c>
      <c r="F398" s="27" t="s">
        <v>2631</v>
      </c>
      <c r="G398" s="35">
        <v>43728</v>
      </c>
      <c r="H398" s="269">
        <f t="shared" si="6"/>
        <v>6</v>
      </c>
      <c r="I398" s="35" t="s">
        <v>2335</v>
      </c>
      <c r="J398" s="27" t="s">
        <v>151</v>
      </c>
      <c r="K398" s="43" t="s">
        <v>2319</v>
      </c>
      <c r="L398" s="27" t="s">
        <v>15</v>
      </c>
      <c r="M398" s="27"/>
      <c r="N398" s="27" t="s">
        <v>15</v>
      </c>
    </row>
    <row r="399" spans="1:14">
      <c r="A399" s="27" t="s">
        <v>1736</v>
      </c>
      <c r="B399" s="27">
        <v>1</v>
      </c>
      <c r="C399" s="27" t="s">
        <v>1532</v>
      </c>
      <c r="D399" s="27" t="s">
        <v>1768</v>
      </c>
      <c r="E399" s="27" t="s">
        <v>1780</v>
      </c>
      <c r="F399" s="27" t="s">
        <v>2632</v>
      </c>
      <c r="G399" s="35">
        <v>43728</v>
      </c>
      <c r="H399" s="269">
        <f t="shared" si="6"/>
        <v>6</v>
      </c>
      <c r="I399" s="35" t="s">
        <v>2335</v>
      </c>
      <c r="J399" s="27" t="s">
        <v>151</v>
      </c>
      <c r="K399" s="43" t="s">
        <v>2312</v>
      </c>
      <c r="L399" s="27" t="s">
        <v>15</v>
      </c>
      <c r="M399" s="27"/>
      <c r="N399" s="27" t="s">
        <v>15</v>
      </c>
    </row>
    <row r="400" spans="1:14">
      <c r="A400" s="27" t="s">
        <v>1736</v>
      </c>
      <c r="B400" s="27">
        <v>1</v>
      </c>
      <c r="C400" s="27" t="s">
        <v>1532</v>
      </c>
      <c r="D400" s="27" t="s">
        <v>1768</v>
      </c>
      <c r="E400" s="27" t="s">
        <v>1772</v>
      </c>
      <c r="F400" s="27" t="s">
        <v>2633</v>
      </c>
      <c r="G400" s="35">
        <v>43728</v>
      </c>
      <c r="H400" s="269">
        <f t="shared" si="6"/>
        <v>6</v>
      </c>
      <c r="I400" s="35" t="s">
        <v>2335</v>
      </c>
      <c r="J400" s="27" t="s">
        <v>151</v>
      </c>
      <c r="K400" s="27" t="s">
        <v>15</v>
      </c>
      <c r="L400" s="27" t="s">
        <v>15</v>
      </c>
      <c r="M400" s="27"/>
      <c r="N400" s="27" t="s">
        <v>15</v>
      </c>
    </row>
    <row r="401" spans="1:14">
      <c r="A401" s="27" t="s">
        <v>1736</v>
      </c>
      <c r="B401" s="27">
        <v>1</v>
      </c>
      <c r="C401" s="27" t="s">
        <v>1746</v>
      </c>
      <c r="D401" s="27" t="s">
        <v>1747</v>
      </c>
      <c r="E401" s="26">
        <v>28670319150705</v>
      </c>
      <c r="F401" s="27" t="s">
        <v>2634</v>
      </c>
      <c r="G401" s="34">
        <v>43717</v>
      </c>
      <c r="H401" s="341">
        <f t="shared" si="6"/>
        <v>6</v>
      </c>
      <c r="I401" s="34" t="s">
        <v>2335</v>
      </c>
      <c r="J401" s="27" t="s">
        <v>151</v>
      </c>
      <c r="K401" s="43" t="s">
        <v>2254</v>
      </c>
      <c r="L401" s="27" t="s">
        <v>15</v>
      </c>
      <c r="M401" s="27"/>
      <c r="N401" s="27" t="s">
        <v>15</v>
      </c>
    </row>
    <row r="402" spans="1:14">
      <c r="A402" s="27" t="s">
        <v>1736</v>
      </c>
      <c r="B402" s="27">
        <v>1</v>
      </c>
      <c r="C402" s="27" t="s">
        <v>1746</v>
      </c>
      <c r="D402" s="27" t="s">
        <v>1747</v>
      </c>
      <c r="E402" s="26">
        <v>28670319150721</v>
      </c>
      <c r="F402" s="27" t="s">
        <v>2635</v>
      </c>
      <c r="G402" s="34">
        <v>43717</v>
      </c>
      <c r="H402" s="341">
        <f t="shared" si="6"/>
        <v>6</v>
      </c>
      <c r="I402" s="34" t="s">
        <v>2335</v>
      </c>
      <c r="J402" s="27" t="s">
        <v>151</v>
      </c>
      <c r="K402" s="43" t="s">
        <v>2255</v>
      </c>
      <c r="L402" s="27" t="s">
        <v>15</v>
      </c>
      <c r="M402" s="27"/>
      <c r="N402" s="27" t="s">
        <v>15</v>
      </c>
    </row>
    <row r="403" spans="1:14">
      <c r="A403" s="27" t="s">
        <v>1736</v>
      </c>
      <c r="B403" s="27">
        <v>1</v>
      </c>
      <c r="C403" s="27" t="s">
        <v>1746</v>
      </c>
      <c r="D403" s="27" t="s">
        <v>1747</v>
      </c>
      <c r="E403" s="26">
        <v>28670319152239</v>
      </c>
      <c r="F403" s="27" t="s">
        <v>2636</v>
      </c>
      <c r="G403" s="34">
        <v>43717</v>
      </c>
      <c r="H403" s="341">
        <f t="shared" si="6"/>
        <v>6</v>
      </c>
      <c r="I403" s="34" t="s">
        <v>2335</v>
      </c>
      <c r="J403" s="27" t="s">
        <v>151</v>
      </c>
      <c r="K403" s="43" t="s">
        <v>2258</v>
      </c>
      <c r="L403" s="27" t="s">
        <v>15</v>
      </c>
      <c r="M403" s="27"/>
      <c r="N403" s="27" t="s">
        <v>15</v>
      </c>
    </row>
    <row r="404" spans="1:14">
      <c r="A404" s="262" t="s">
        <v>1736</v>
      </c>
      <c r="B404" s="262">
        <v>1</v>
      </c>
      <c r="C404" s="262" t="s">
        <v>1746</v>
      </c>
      <c r="D404" s="262" t="s">
        <v>1747</v>
      </c>
      <c r="E404" s="297">
        <v>28670319153288</v>
      </c>
      <c r="F404" s="262" t="s">
        <v>2637</v>
      </c>
      <c r="G404" s="298">
        <v>43717</v>
      </c>
      <c r="H404" s="299">
        <f t="shared" si="6"/>
        <v>6</v>
      </c>
      <c r="I404" s="298" t="s">
        <v>2335</v>
      </c>
      <c r="J404" s="262" t="s">
        <v>151</v>
      </c>
      <c r="K404" s="330" t="s">
        <v>2240</v>
      </c>
      <c r="L404" s="262" t="s">
        <v>1453</v>
      </c>
      <c r="M404" s="262"/>
      <c r="N404" s="262" t="s">
        <v>15</v>
      </c>
    </row>
    <row r="405" spans="1:14">
      <c r="A405" s="27" t="s">
        <v>1736</v>
      </c>
      <c r="B405" s="27">
        <v>1</v>
      </c>
      <c r="C405" s="27" t="s">
        <v>1746</v>
      </c>
      <c r="D405" s="27" t="s">
        <v>1747</v>
      </c>
      <c r="E405" s="26">
        <v>28670319150482</v>
      </c>
      <c r="F405" s="27" t="s">
        <v>2638</v>
      </c>
      <c r="G405" s="34">
        <v>43717</v>
      </c>
      <c r="H405" s="341">
        <f t="shared" si="6"/>
        <v>6</v>
      </c>
      <c r="I405" s="34" t="s">
        <v>2335</v>
      </c>
      <c r="J405" s="27" t="s">
        <v>151</v>
      </c>
      <c r="K405" s="43" t="s">
        <v>2259</v>
      </c>
      <c r="L405" s="27" t="s">
        <v>15</v>
      </c>
      <c r="M405" s="27"/>
      <c r="N405" s="27" t="s">
        <v>15</v>
      </c>
    </row>
    <row r="406" spans="1:14">
      <c r="A406" s="27" t="s">
        <v>1736</v>
      </c>
      <c r="B406" s="27">
        <v>1</v>
      </c>
      <c r="C406" s="27" t="s">
        <v>1746</v>
      </c>
      <c r="D406" s="27" t="s">
        <v>1747</v>
      </c>
      <c r="E406" s="26">
        <v>28670319150566</v>
      </c>
      <c r="F406" s="27" t="s">
        <v>2639</v>
      </c>
      <c r="G406" s="34">
        <v>43717</v>
      </c>
      <c r="H406" s="341">
        <f t="shared" si="6"/>
        <v>6</v>
      </c>
      <c r="I406" s="34" t="s">
        <v>2335</v>
      </c>
      <c r="J406" s="27" t="s">
        <v>151</v>
      </c>
      <c r="K406" s="43" t="s">
        <v>2260</v>
      </c>
      <c r="L406" s="27" t="s">
        <v>15</v>
      </c>
      <c r="M406" s="27"/>
      <c r="N406" s="27" t="s">
        <v>15</v>
      </c>
    </row>
    <row r="407" spans="1:14">
      <c r="A407" s="27" t="s">
        <v>1736</v>
      </c>
      <c r="B407" s="27">
        <v>1</v>
      </c>
      <c r="C407" s="27" t="s">
        <v>1746</v>
      </c>
      <c r="D407" s="27" t="s">
        <v>1747</v>
      </c>
      <c r="E407" s="26">
        <v>28670319153451</v>
      </c>
      <c r="F407" s="27" t="s">
        <v>2640</v>
      </c>
      <c r="G407" s="34">
        <v>43717</v>
      </c>
      <c r="H407" s="341">
        <f t="shared" si="6"/>
        <v>6</v>
      </c>
      <c r="I407" s="34" t="s">
        <v>2335</v>
      </c>
      <c r="J407" s="27" t="s">
        <v>151</v>
      </c>
      <c r="K407" s="43" t="s">
        <v>2261</v>
      </c>
      <c r="L407" s="27" t="s">
        <v>15</v>
      </c>
      <c r="M407" s="27"/>
      <c r="N407" s="27" t="s">
        <v>15</v>
      </c>
    </row>
    <row r="408" spans="1:14">
      <c r="A408" s="262" t="s">
        <v>1736</v>
      </c>
      <c r="B408" s="262">
        <v>1</v>
      </c>
      <c r="C408" s="262" t="s">
        <v>1746</v>
      </c>
      <c r="D408" s="262" t="s">
        <v>1747</v>
      </c>
      <c r="E408" s="297">
        <v>28670319152949</v>
      </c>
      <c r="F408" s="262" t="s">
        <v>2641</v>
      </c>
      <c r="G408" s="298">
        <v>43717</v>
      </c>
      <c r="H408" s="299">
        <f t="shared" si="6"/>
        <v>6</v>
      </c>
      <c r="I408" s="298" t="s">
        <v>2335</v>
      </c>
      <c r="J408" s="262" t="s">
        <v>151</v>
      </c>
      <c r="K408" s="330" t="s">
        <v>2182</v>
      </c>
      <c r="L408" s="262" t="s">
        <v>1453</v>
      </c>
      <c r="M408" s="262"/>
      <c r="N408" s="262" t="s">
        <v>15</v>
      </c>
    </row>
    <row r="409" spans="1:14">
      <c r="A409" s="262" t="s">
        <v>1736</v>
      </c>
      <c r="B409" s="262">
        <v>1</v>
      </c>
      <c r="C409" s="262" t="s">
        <v>1746</v>
      </c>
      <c r="D409" s="262" t="s">
        <v>1747</v>
      </c>
      <c r="E409" s="297">
        <v>28670319150645</v>
      </c>
      <c r="F409" s="262" t="s">
        <v>2642</v>
      </c>
      <c r="G409" s="298">
        <v>43717</v>
      </c>
      <c r="H409" s="299">
        <f t="shared" si="6"/>
        <v>6</v>
      </c>
      <c r="I409" s="298" t="s">
        <v>2335</v>
      </c>
      <c r="J409" s="262" t="s">
        <v>151</v>
      </c>
      <c r="K409" s="330" t="s">
        <v>2182</v>
      </c>
      <c r="L409" s="262" t="s">
        <v>1453</v>
      </c>
      <c r="M409" s="262"/>
      <c r="N409" s="262" t="s">
        <v>15</v>
      </c>
    </row>
    <row r="410" spans="1:14">
      <c r="A410" s="27" t="s">
        <v>1736</v>
      </c>
      <c r="B410" s="27">
        <v>1</v>
      </c>
      <c r="C410" s="27" t="s">
        <v>1746</v>
      </c>
      <c r="D410" s="27" t="s">
        <v>1747</v>
      </c>
      <c r="E410" s="26">
        <v>28670319153352</v>
      </c>
      <c r="F410" s="27" t="s">
        <v>2643</v>
      </c>
      <c r="G410" s="34">
        <v>43717</v>
      </c>
      <c r="H410" s="341">
        <f t="shared" si="6"/>
        <v>6</v>
      </c>
      <c r="I410" s="34" t="s">
        <v>2335</v>
      </c>
      <c r="J410" s="27" t="s">
        <v>151</v>
      </c>
      <c r="K410" s="43" t="s">
        <v>2236</v>
      </c>
      <c r="L410" s="27" t="s">
        <v>15</v>
      </c>
      <c r="M410" s="27"/>
      <c r="N410" s="27" t="s">
        <v>15</v>
      </c>
    </row>
    <row r="411" spans="1:14">
      <c r="A411" s="262" t="s">
        <v>1736</v>
      </c>
      <c r="B411" s="262">
        <v>1</v>
      </c>
      <c r="C411" s="262" t="s">
        <v>1746</v>
      </c>
      <c r="D411" s="262" t="s">
        <v>1747</v>
      </c>
      <c r="E411" s="297">
        <v>28670319153418</v>
      </c>
      <c r="F411" s="262" t="s">
        <v>2644</v>
      </c>
      <c r="G411" s="298">
        <v>43717</v>
      </c>
      <c r="H411" s="299">
        <f t="shared" si="6"/>
        <v>6</v>
      </c>
      <c r="I411" s="298" t="s">
        <v>2335</v>
      </c>
      <c r="J411" s="262" t="s">
        <v>151</v>
      </c>
      <c r="K411" s="330" t="s">
        <v>2262</v>
      </c>
      <c r="L411" s="262" t="s">
        <v>1453</v>
      </c>
      <c r="M411" s="262"/>
      <c r="N411" s="262" t="s">
        <v>15</v>
      </c>
    </row>
    <row r="412" spans="1:14">
      <c r="A412" s="27" t="s">
        <v>1736</v>
      </c>
      <c r="B412" s="27">
        <v>1</v>
      </c>
      <c r="C412" s="27" t="s">
        <v>1746</v>
      </c>
      <c r="D412" s="27" t="s">
        <v>1747</v>
      </c>
      <c r="E412" s="26">
        <v>28670319151319</v>
      </c>
      <c r="F412" s="27" t="s">
        <v>2645</v>
      </c>
      <c r="G412" s="34">
        <v>43717</v>
      </c>
      <c r="H412" s="341">
        <f t="shared" si="6"/>
        <v>6</v>
      </c>
      <c r="I412" s="34" t="s">
        <v>2335</v>
      </c>
      <c r="J412" s="27" t="s">
        <v>151</v>
      </c>
      <c r="K412" s="43" t="s">
        <v>2182</v>
      </c>
      <c r="L412" s="27" t="s">
        <v>15</v>
      </c>
      <c r="M412" s="27"/>
      <c r="N412" s="27" t="s">
        <v>15</v>
      </c>
    </row>
    <row r="413" spans="1:14">
      <c r="A413" s="262" t="s">
        <v>1736</v>
      </c>
      <c r="B413" s="262">
        <v>1</v>
      </c>
      <c r="C413" s="262" t="s">
        <v>1746</v>
      </c>
      <c r="D413" s="262" t="s">
        <v>1747</v>
      </c>
      <c r="E413" s="297">
        <v>28670319153298</v>
      </c>
      <c r="F413" s="262" t="s">
        <v>2646</v>
      </c>
      <c r="G413" s="298">
        <v>43717</v>
      </c>
      <c r="H413" s="299">
        <f t="shared" si="6"/>
        <v>6</v>
      </c>
      <c r="I413" s="298" t="s">
        <v>2335</v>
      </c>
      <c r="J413" s="262" t="s">
        <v>151</v>
      </c>
      <c r="K413" s="330" t="s">
        <v>2182</v>
      </c>
      <c r="L413" s="262" t="s">
        <v>1453</v>
      </c>
      <c r="M413" s="262"/>
      <c r="N413" s="262" t="s">
        <v>15</v>
      </c>
    </row>
    <row r="414" spans="1:14">
      <c r="A414" s="27" t="s">
        <v>1736</v>
      </c>
      <c r="B414" s="27">
        <v>1</v>
      </c>
      <c r="C414" s="27" t="s">
        <v>1746</v>
      </c>
      <c r="D414" s="27" t="s">
        <v>1747</v>
      </c>
      <c r="E414" s="26">
        <v>28670319150602</v>
      </c>
      <c r="F414" s="27" t="s">
        <v>2647</v>
      </c>
      <c r="G414" s="34">
        <v>43717</v>
      </c>
      <c r="H414" s="341">
        <f t="shared" si="6"/>
        <v>6</v>
      </c>
      <c r="I414" s="34" t="s">
        <v>2335</v>
      </c>
      <c r="J414" s="27" t="s">
        <v>151</v>
      </c>
      <c r="K414" s="43" t="s">
        <v>2263</v>
      </c>
      <c r="L414" s="27" t="s">
        <v>15</v>
      </c>
      <c r="M414" s="27"/>
      <c r="N414" s="27" t="s">
        <v>15</v>
      </c>
    </row>
    <row r="415" spans="1:14">
      <c r="A415" s="262" t="s">
        <v>1736</v>
      </c>
      <c r="B415" s="262">
        <v>1</v>
      </c>
      <c r="C415" s="262" t="s">
        <v>1746</v>
      </c>
      <c r="D415" s="262" t="s">
        <v>1747</v>
      </c>
      <c r="E415" s="297">
        <v>28670319153295</v>
      </c>
      <c r="F415" s="262" t="s">
        <v>2648</v>
      </c>
      <c r="G415" s="298">
        <v>43717</v>
      </c>
      <c r="H415" s="299">
        <f t="shared" si="6"/>
        <v>6</v>
      </c>
      <c r="I415" s="298" t="s">
        <v>2335</v>
      </c>
      <c r="J415" s="262" t="s">
        <v>151</v>
      </c>
      <c r="K415" s="330" t="s">
        <v>2182</v>
      </c>
      <c r="L415" s="262" t="s">
        <v>1453</v>
      </c>
      <c r="M415" s="262"/>
      <c r="N415" s="262" t="s">
        <v>15</v>
      </c>
    </row>
    <row r="416" spans="1:14">
      <c r="A416" s="27" t="s">
        <v>1736</v>
      </c>
      <c r="B416" s="27">
        <v>1</v>
      </c>
      <c r="C416" s="27" t="s">
        <v>1746</v>
      </c>
      <c r="D416" s="27" t="s">
        <v>1747</v>
      </c>
      <c r="E416" s="26">
        <v>28670319150539</v>
      </c>
      <c r="F416" s="27" t="s">
        <v>2649</v>
      </c>
      <c r="G416" s="34">
        <v>43717</v>
      </c>
      <c r="H416" s="341">
        <f t="shared" si="6"/>
        <v>6</v>
      </c>
      <c r="I416" s="34" t="s">
        <v>2335</v>
      </c>
      <c r="J416" s="27" t="s">
        <v>151</v>
      </c>
      <c r="K416" s="43" t="s">
        <v>2182</v>
      </c>
      <c r="L416" s="27" t="s">
        <v>15</v>
      </c>
      <c r="M416" s="27"/>
      <c r="N416" s="27" t="s">
        <v>15</v>
      </c>
    </row>
    <row r="417" spans="1:14">
      <c r="A417" s="262" t="s">
        <v>1736</v>
      </c>
      <c r="B417" s="262">
        <v>1</v>
      </c>
      <c r="C417" s="262" t="s">
        <v>1746</v>
      </c>
      <c r="D417" s="262" t="s">
        <v>1747</v>
      </c>
      <c r="E417" s="297">
        <v>28670319152832</v>
      </c>
      <c r="F417" s="262" t="s">
        <v>2650</v>
      </c>
      <c r="G417" s="298">
        <v>43717</v>
      </c>
      <c r="H417" s="299">
        <f t="shared" si="6"/>
        <v>6</v>
      </c>
      <c r="I417" s="298" t="s">
        <v>2335</v>
      </c>
      <c r="J417" s="262" t="s">
        <v>151</v>
      </c>
      <c r="K417" s="330" t="s">
        <v>2262</v>
      </c>
      <c r="L417" s="262" t="s">
        <v>1453</v>
      </c>
      <c r="M417" s="262"/>
      <c r="N417" s="262" t="s">
        <v>15</v>
      </c>
    </row>
    <row r="418" spans="1:14">
      <c r="A418" s="262" t="s">
        <v>1736</v>
      </c>
      <c r="B418" s="262">
        <v>1</v>
      </c>
      <c r="C418" s="262" t="s">
        <v>1746</v>
      </c>
      <c r="D418" s="262" t="s">
        <v>1747</v>
      </c>
      <c r="E418" s="297">
        <v>28670319150668</v>
      </c>
      <c r="F418" s="262" t="s">
        <v>2651</v>
      </c>
      <c r="G418" s="298">
        <v>43717</v>
      </c>
      <c r="H418" s="299">
        <f t="shared" si="6"/>
        <v>6</v>
      </c>
      <c r="I418" s="298" t="s">
        <v>2335</v>
      </c>
      <c r="J418" s="262" t="s">
        <v>151</v>
      </c>
      <c r="K418" s="330" t="s">
        <v>2182</v>
      </c>
      <c r="L418" s="262" t="s">
        <v>1453</v>
      </c>
      <c r="M418" s="262"/>
      <c r="N418" s="262" t="s">
        <v>15</v>
      </c>
    </row>
    <row r="419" spans="1:14">
      <c r="A419" s="27" t="s">
        <v>1736</v>
      </c>
      <c r="B419" s="27">
        <v>1</v>
      </c>
      <c r="C419" s="27" t="s">
        <v>1746</v>
      </c>
      <c r="D419" s="27" t="s">
        <v>1747</v>
      </c>
      <c r="E419" s="26">
        <v>28670319150620</v>
      </c>
      <c r="F419" s="27" t="s">
        <v>2652</v>
      </c>
      <c r="G419" s="34">
        <v>43717</v>
      </c>
      <c r="H419" s="341">
        <f t="shared" si="6"/>
        <v>6</v>
      </c>
      <c r="I419" s="34" t="s">
        <v>2335</v>
      </c>
      <c r="J419" s="27" t="s">
        <v>151</v>
      </c>
      <c r="K419" s="43" t="s">
        <v>2182</v>
      </c>
      <c r="L419" s="27" t="s">
        <v>15</v>
      </c>
      <c r="M419" s="27"/>
      <c r="N419" s="27" t="s">
        <v>15</v>
      </c>
    </row>
    <row r="420" spans="1:14">
      <c r="A420" s="27" t="s">
        <v>1736</v>
      </c>
      <c r="B420" s="27">
        <v>1</v>
      </c>
      <c r="C420" s="27" t="s">
        <v>1746</v>
      </c>
      <c r="D420" s="27" t="s">
        <v>1747</v>
      </c>
      <c r="E420" s="26">
        <v>28670319150438</v>
      </c>
      <c r="F420" s="27" t="s">
        <v>2653</v>
      </c>
      <c r="G420" s="34">
        <v>43717</v>
      </c>
      <c r="H420" s="341">
        <f t="shared" si="6"/>
        <v>6</v>
      </c>
      <c r="I420" s="34" t="s">
        <v>2335</v>
      </c>
      <c r="J420" s="27" t="s">
        <v>151</v>
      </c>
      <c r="K420" s="43" t="s">
        <v>2264</v>
      </c>
      <c r="L420" s="27" t="s">
        <v>15</v>
      </c>
      <c r="M420" s="27"/>
      <c r="N420" s="27" t="s">
        <v>15</v>
      </c>
    </row>
    <row r="421" spans="1:14">
      <c r="A421" s="262" t="s">
        <v>1736</v>
      </c>
      <c r="B421" s="262">
        <v>1</v>
      </c>
      <c r="C421" s="262" t="s">
        <v>1746</v>
      </c>
      <c r="D421" s="262" t="s">
        <v>1747</v>
      </c>
      <c r="E421" s="297">
        <v>28670319153474</v>
      </c>
      <c r="F421" s="262" t="s">
        <v>2654</v>
      </c>
      <c r="G421" s="298">
        <v>43717</v>
      </c>
      <c r="H421" s="299">
        <f t="shared" si="6"/>
        <v>6</v>
      </c>
      <c r="I421" s="298" t="s">
        <v>2335</v>
      </c>
      <c r="J421" s="262" t="s">
        <v>151</v>
      </c>
      <c r="K421" s="330" t="s">
        <v>2182</v>
      </c>
      <c r="L421" s="262" t="s">
        <v>1453</v>
      </c>
      <c r="M421" s="262"/>
      <c r="N421" s="262" t="s">
        <v>15</v>
      </c>
    </row>
    <row r="422" spans="1:14">
      <c r="A422" s="27" t="s">
        <v>1736</v>
      </c>
      <c r="B422" s="27">
        <v>1</v>
      </c>
      <c r="C422" s="27" t="s">
        <v>1746</v>
      </c>
      <c r="D422" s="27" t="s">
        <v>1747</v>
      </c>
      <c r="E422" s="26">
        <v>28670319150737</v>
      </c>
      <c r="F422" s="27" t="s">
        <v>2655</v>
      </c>
      <c r="G422" s="34">
        <v>43717</v>
      </c>
      <c r="H422" s="341">
        <f t="shared" ref="H422:H482" si="7">ABS(YEAR(G422)-2025)</f>
        <v>6</v>
      </c>
      <c r="I422" s="34" t="s">
        <v>2335</v>
      </c>
      <c r="J422" s="27" t="s">
        <v>151</v>
      </c>
      <c r="K422" s="43" t="s">
        <v>2265</v>
      </c>
      <c r="L422" s="27" t="s">
        <v>15</v>
      </c>
      <c r="M422" s="27"/>
      <c r="N422" s="27" t="s">
        <v>15</v>
      </c>
    </row>
    <row r="423" spans="1:14">
      <c r="A423" s="27" t="s">
        <v>1736</v>
      </c>
      <c r="B423" s="27">
        <v>1</v>
      </c>
      <c r="C423" s="27" t="s">
        <v>1746</v>
      </c>
      <c r="D423" s="27" t="s">
        <v>1747</v>
      </c>
      <c r="E423" s="26">
        <v>28670319152942</v>
      </c>
      <c r="F423" s="27" t="s">
        <v>2656</v>
      </c>
      <c r="G423" s="34">
        <v>43717</v>
      </c>
      <c r="H423" s="341">
        <f t="shared" si="7"/>
        <v>6</v>
      </c>
      <c r="I423" s="34" t="s">
        <v>2335</v>
      </c>
      <c r="J423" s="27" t="s">
        <v>151</v>
      </c>
      <c r="K423" s="43" t="s">
        <v>2266</v>
      </c>
      <c r="L423" s="27" t="s">
        <v>15</v>
      </c>
      <c r="M423" s="27"/>
      <c r="N423" s="27" t="s">
        <v>15</v>
      </c>
    </row>
    <row r="424" spans="1:14">
      <c r="A424" s="262" t="s">
        <v>1736</v>
      </c>
      <c r="B424" s="262">
        <v>1</v>
      </c>
      <c r="C424" s="262" t="s">
        <v>1746</v>
      </c>
      <c r="D424" s="262" t="s">
        <v>1747</v>
      </c>
      <c r="E424" s="297">
        <v>28670319151703</v>
      </c>
      <c r="F424" s="262" t="s">
        <v>2657</v>
      </c>
      <c r="G424" s="298">
        <v>43717</v>
      </c>
      <c r="H424" s="299">
        <f t="shared" si="7"/>
        <v>6</v>
      </c>
      <c r="I424" s="298" t="s">
        <v>2335</v>
      </c>
      <c r="J424" s="262" t="s">
        <v>151</v>
      </c>
      <c r="K424" s="330" t="s">
        <v>2182</v>
      </c>
      <c r="L424" s="262" t="s">
        <v>1453</v>
      </c>
      <c r="M424" s="262"/>
      <c r="N424" s="262" t="s">
        <v>15</v>
      </c>
    </row>
    <row r="425" spans="1:14">
      <c r="A425" s="262" t="s">
        <v>1736</v>
      </c>
      <c r="B425" s="262">
        <v>1</v>
      </c>
      <c r="C425" s="262" t="s">
        <v>1746</v>
      </c>
      <c r="D425" s="262" t="s">
        <v>1747</v>
      </c>
      <c r="E425" s="297">
        <v>28670319153350</v>
      </c>
      <c r="F425" s="262" t="s">
        <v>2658</v>
      </c>
      <c r="G425" s="298">
        <v>43717</v>
      </c>
      <c r="H425" s="299">
        <f t="shared" si="7"/>
        <v>6</v>
      </c>
      <c r="I425" s="298" t="s">
        <v>2335</v>
      </c>
      <c r="J425" s="262" t="s">
        <v>151</v>
      </c>
      <c r="K425" s="330" t="s">
        <v>2182</v>
      </c>
      <c r="L425" s="262" t="s">
        <v>1453</v>
      </c>
      <c r="M425" s="262"/>
      <c r="N425" s="262" t="s">
        <v>15</v>
      </c>
    </row>
    <row r="426" spans="1:14">
      <c r="A426" s="27" t="s">
        <v>1736</v>
      </c>
      <c r="B426" s="27">
        <v>1</v>
      </c>
      <c r="C426" s="27" t="s">
        <v>1746</v>
      </c>
      <c r="D426" s="27" t="s">
        <v>1747</v>
      </c>
      <c r="E426" s="26">
        <v>28670319153269</v>
      </c>
      <c r="F426" s="27" t="s">
        <v>2659</v>
      </c>
      <c r="G426" s="34">
        <v>43717</v>
      </c>
      <c r="H426" s="341">
        <f t="shared" si="7"/>
        <v>6</v>
      </c>
      <c r="I426" s="34" t="s">
        <v>2335</v>
      </c>
      <c r="J426" s="27" t="s">
        <v>151</v>
      </c>
      <c r="K426" s="43" t="s">
        <v>2223</v>
      </c>
      <c r="L426" s="27" t="s">
        <v>15</v>
      </c>
      <c r="M426" s="27"/>
      <c r="N426" s="27" t="s">
        <v>15</v>
      </c>
    </row>
    <row r="427" spans="1:14">
      <c r="A427" s="27" t="s">
        <v>1736</v>
      </c>
      <c r="B427" s="27">
        <v>1</v>
      </c>
      <c r="C427" s="27" t="s">
        <v>1746</v>
      </c>
      <c r="D427" s="27" t="s">
        <v>1747</v>
      </c>
      <c r="E427" s="26">
        <v>28670319151288</v>
      </c>
      <c r="F427" s="27" t="s">
        <v>2660</v>
      </c>
      <c r="G427" s="34">
        <v>43717</v>
      </c>
      <c r="H427" s="341">
        <f t="shared" si="7"/>
        <v>6</v>
      </c>
      <c r="I427" s="34" t="s">
        <v>2335</v>
      </c>
      <c r="J427" s="27" t="s">
        <v>151</v>
      </c>
      <c r="K427" s="43" t="s">
        <v>2267</v>
      </c>
      <c r="L427" s="27" t="s">
        <v>15</v>
      </c>
      <c r="M427" s="27"/>
      <c r="N427" s="27" t="s">
        <v>15</v>
      </c>
    </row>
    <row r="428" spans="1:14">
      <c r="A428" s="27" t="s">
        <v>1736</v>
      </c>
      <c r="B428" s="27">
        <v>1</v>
      </c>
      <c r="C428" s="27" t="s">
        <v>1746</v>
      </c>
      <c r="D428" s="27" t="s">
        <v>1747</v>
      </c>
      <c r="E428" s="26">
        <v>28670319150746</v>
      </c>
      <c r="F428" s="27" t="s">
        <v>2661</v>
      </c>
      <c r="G428" s="34">
        <v>43717</v>
      </c>
      <c r="H428" s="341">
        <f t="shared" si="7"/>
        <v>6</v>
      </c>
      <c r="I428" s="34" t="s">
        <v>2335</v>
      </c>
      <c r="J428" s="27" t="s">
        <v>151</v>
      </c>
      <c r="K428" s="43" t="s">
        <v>2269</v>
      </c>
      <c r="L428" s="27" t="s">
        <v>15</v>
      </c>
      <c r="M428" s="27"/>
      <c r="N428" s="27" t="s">
        <v>15</v>
      </c>
    </row>
    <row r="429" spans="1:14">
      <c r="A429" s="27" t="s">
        <v>1736</v>
      </c>
      <c r="B429" s="27">
        <v>1</v>
      </c>
      <c r="C429" s="27" t="s">
        <v>1746</v>
      </c>
      <c r="D429" s="27" t="s">
        <v>1747</v>
      </c>
      <c r="E429" s="26">
        <v>28670319152808</v>
      </c>
      <c r="F429" s="27" t="s">
        <v>2662</v>
      </c>
      <c r="G429" s="34">
        <v>43717</v>
      </c>
      <c r="H429" s="341">
        <f t="shared" si="7"/>
        <v>6</v>
      </c>
      <c r="I429" s="34" t="s">
        <v>2335</v>
      </c>
      <c r="J429" s="27" t="s">
        <v>151</v>
      </c>
      <c r="K429" s="43" t="s">
        <v>2189</v>
      </c>
      <c r="L429" s="27" t="s">
        <v>15</v>
      </c>
      <c r="M429" s="27"/>
      <c r="N429" s="27" t="s">
        <v>15</v>
      </c>
    </row>
    <row r="430" spans="1:14">
      <c r="A430" s="262" t="s">
        <v>1736</v>
      </c>
      <c r="B430" s="262">
        <v>1</v>
      </c>
      <c r="C430" s="262" t="s">
        <v>1746</v>
      </c>
      <c r="D430" s="262" t="s">
        <v>1747</v>
      </c>
      <c r="E430" s="297">
        <v>28670319150664</v>
      </c>
      <c r="F430" s="262" t="s">
        <v>2663</v>
      </c>
      <c r="G430" s="298">
        <v>43717</v>
      </c>
      <c r="H430" s="299">
        <f t="shared" si="7"/>
        <v>6</v>
      </c>
      <c r="I430" s="298" t="s">
        <v>2335</v>
      </c>
      <c r="J430" s="262" t="s">
        <v>151</v>
      </c>
      <c r="K430" s="330" t="s">
        <v>2182</v>
      </c>
      <c r="L430" s="262" t="s">
        <v>1453</v>
      </c>
      <c r="M430" s="262"/>
      <c r="N430" s="262" t="s">
        <v>15</v>
      </c>
    </row>
    <row r="431" spans="1:14">
      <c r="A431" s="262" t="s">
        <v>1736</v>
      </c>
      <c r="B431" s="262">
        <v>1</v>
      </c>
      <c r="C431" s="262" t="s">
        <v>1746</v>
      </c>
      <c r="D431" s="262" t="s">
        <v>1747</v>
      </c>
      <c r="E431" s="297">
        <v>28670319152941</v>
      </c>
      <c r="F431" s="262" t="s">
        <v>2664</v>
      </c>
      <c r="G431" s="298">
        <v>43717</v>
      </c>
      <c r="H431" s="299">
        <f t="shared" si="7"/>
        <v>6</v>
      </c>
      <c r="I431" s="298" t="s">
        <v>2335</v>
      </c>
      <c r="J431" s="262" t="s">
        <v>151</v>
      </c>
      <c r="K431" s="330" t="s">
        <v>2182</v>
      </c>
      <c r="L431" s="262" t="s">
        <v>1453</v>
      </c>
      <c r="M431" s="262"/>
      <c r="N431" s="262" t="s">
        <v>15</v>
      </c>
    </row>
    <row r="432" spans="1:14">
      <c r="A432" s="27" t="s">
        <v>1736</v>
      </c>
      <c r="B432" s="27">
        <v>1</v>
      </c>
      <c r="C432" s="27" t="s">
        <v>1746</v>
      </c>
      <c r="D432" s="27" t="s">
        <v>1747</v>
      </c>
      <c r="E432" s="26">
        <v>28670319153285</v>
      </c>
      <c r="F432" s="27" t="s">
        <v>2665</v>
      </c>
      <c r="G432" s="34">
        <v>43717</v>
      </c>
      <c r="H432" s="341">
        <f t="shared" si="7"/>
        <v>6</v>
      </c>
      <c r="I432" s="34" t="s">
        <v>2335</v>
      </c>
      <c r="J432" s="27" t="s">
        <v>151</v>
      </c>
      <c r="K432" s="43" t="s">
        <v>2270</v>
      </c>
      <c r="L432" s="27" t="s">
        <v>15</v>
      </c>
      <c r="M432" s="27"/>
      <c r="N432" s="27" t="s">
        <v>15</v>
      </c>
    </row>
    <row r="433" spans="1:14">
      <c r="A433" s="27" t="s">
        <v>1736</v>
      </c>
      <c r="B433" s="27">
        <v>1</v>
      </c>
      <c r="C433" s="27" t="s">
        <v>1746</v>
      </c>
      <c r="D433" s="27" t="s">
        <v>1747</v>
      </c>
      <c r="E433" s="26">
        <v>28670319151628</v>
      </c>
      <c r="F433" s="27" t="s">
        <v>2666</v>
      </c>
      <c r="G433" s="34">
        <v>43717</v>
      </c>
      <c r="H433" s="341">
        <f t="shared" si="7"/>
        <v>6</v>
      </c>
      <c r="I433" s="34" t="s">
        <v>2335</v>
      </c>
      <c r="J433" s="27" t="s">
        <v>151</v>
      </c>
      <c r="K433" s="43" t="s">
        <v>2271</v>
      </c>
      <c r="L433" s="27" t="s">
        <v>15</v>
      </c>
      <c r="M433" s="27"/>
      <c r="N433" s="27" t="s">
        <v>15</v>
      </c>
    </row>
    <row r="434" spans="1:14">
      <c r="A434" s="262" t="s">
        <v>1736</v>
      </c>
      <c r="B434" s="262">
        <v>1</v>
      </c>
      <c r="C434" s="262" t="s">
        <v>1746</v>
      </c>
      <c r="D434" s="262" t="s">
        <v>1747</v>
      </c>
      <c r="E434" s="297">
        <v>28670319151817</v>
      </c>
      <c r="F434" s="262" t="s">
        <v>2667</v>
      </c>
      <c r="G434" s="298">
        <v>43717</v>
      </c>
      <c r="H434" s="299">
        <f t="shared" si="7"/>
        <v>6</v>
      </c>
      <c r="I434" s="298" t="s">
        <v>2335</v>
      </c>
      <c r="J434" s="262" t="s">
        <v>151</v>
      </c>
      <c r="K434" s="330" t="s">
        <v>2182</v>
      </c>
      <c r="L434" s="262" t="s">
        <v>1453</v>
      </c>
      <c r="M434" s="262"/>
      <c r="N434" s="262" t="s">
        <v>15</v>
      </c>
    </row>
    <row r="435" spans="1:14">
      <c r="A435" s="27" t="s">
        <v>1736</v>
      </c>
      <c r="B435" s="27">
        <v>1</v>
      </c>
      <c r="C435" s="27" t="s">
        <v>1746</v>
      </c>
      <c r="D435" s="27" t="s">
        <v>1747</v>
      </c>
      <c r="E435" s="26">
        <v>28670319151956</v>
      </c>
      <c r="F435" s="27" t="s">
        <v>2668</v>
      </c>
      <c r="G435" s="34">
        <v>43717</v>
      </c>
      <c r="H435" s="341">
        <f t="shared" si="7"/>
        <v>6</v>
      </c>
      <c r="I435" s="34" t="s">
        <v>2335</v>
      </c>
      <c r="J435" s="27" t="s">
        <v>151</v>
      </c>
      <c r="K435" s="43" t="s">
        <v>2272</v>
      </c>
      <c r="L435" s="27" t="s">
        <v>15</v>
      </c>
      <c r="M435" s="27"/>
      <c r="N435" s="27" t="s">
        <v>15</v>
      </c>
    </row>
    <row r="436" spans="1:14">
      <c r="A436" s="262" t="s">
        <v>1736</v>
      </c>
      <c r="B436" s="262">
        <v>1</v>
      </c>
      <c r="C436" s="262" t="s">
        <v>1746</v>
      </c>
      <c r="D436" s="262" t="s">
        <v>1747</v>
      </c>
      <c r="E436" s="297">
        <v>28670319153287</v>
      </c>
      <c r="F436" s="262" t="s">
        <v>2669</v>
      </c>
      <c r="G436" s="298">
        <v>43717</v>
      </c>
      <c r="H436" s="299">
        <f t="shared" si="7"/>
        <v>6</v>
      </c>
      <c r="I436" s="298" t="s">
        <v>2335</v>
      </c>
      <c r="J436" s="262" t="s">
        <v>151</v>
      </c>
      <c r="K436" s="330" t="s">
        <v>2182</v>
      </c>
      <c r="L436" s="262" t="s">
        <v>1453</v>
      </c>
      <c r="M436" s="262"/>
      <c r="N436" s="262" t="s">
        <v>15</v>
      </c>
    </row>
    <row r="437" spans="1:14">
      <c r="A437" s="27" t="s">
        <v>1736</v>
      </c>
      <c r="B437" s="27">
        <v>1</v>
      </c>
      <c r="C437" s="27" t="s">
        <v>1746</v>
      </c>
      <c r="D437" s="27" t="s">
        <v>1747</v>
      </c>
      <c r="E437" s="26">
        <v>28670319152929</v>
      </c>
      <c r="F437" s="27" t="s">
        <v>2670</v>
      </c>
      <c r="G437" s="34">
        <v>43717</v>
      </c>
      <c r="H437" s="341">
        <f t="shared" si="7"/>
        <v>6</v>
      </c>
      <c r="I437" s="34" t="s">
        <v>2335</v>
      </c>
      <c r="J437" s="27" t="s">
        <v>151</v>
      </c>
      <c r="K437" s="43" t="s">
        <v>2273</v>
      </c>
      <c r="L437" s="27" t="s">
        <v>15</v>
      </c>
      <c r="M437" s="27"/>
      <c r="N437" s="27" t="s">
        <v>15</v>
      </c>
    </row>
    <row r="438" spans="1:14">
      <c r="A438" s="27" t="s">
        <v>1736</v>
      </c>
      <c r="B438" s="27">
        <v>1</v>
      </c>
      <c r="C438" s="27" t="s">
        <v>1746</v>
      </c>
      <c r="D438" s="27" t="s">
        <v>1747</v>
      </c>
      <c r="E438" s="26">
        <v>28670319153420</v>
      </c>
      <c r="F438" s="27" t="s">
        <v>2671</v>
      </c>
      <c r="G438" s="34">
        <v>43717</v>
      </c>
      <c r="H438" s="341">
        <f t="shared" si="7"/>
        <v>6</v>
      </c>
      <c r="I438" s="34" t="s">
        <v>2335</v>
      </c>
      <c r="J438" s="27" t="s">
        <v>151</v>
      </c>
      <c r="K438" s="43" t="s">
        <v>2274</v>
      </c>
      <c r="L438" s="27" t="s">
        <v>15</v>
      </c>
      <c r="M438" s="27"/>
      <c r="N438" s="27" t="s">
        <v>15</v>
      </c>
    </row>
    <row r="439" spans="1:14">
      <c r="A439" s="27" t="s">
        <v>1736</v>
      </c>
      <c r="B439" s="27">
        <v>1</v>
      </c>
      <c r="C439" s="27" t="s">
        <v>1746</v>
      </c>
      <c r="D439" s="27" t="s">
        <v>1747</v>
      </c>
      <c r="E439" s="26">
        <v>28670319151356</v>
      </c>
      <c r="F439" s="27" t="s">
        <v>2672</v>
      </c>
      <c r="G439" s="34">
        <v>43717</v>
      </c>
      <c r="H439" s="341">
        <f t="shared" si="7"/>
        <v>6</v>
      </c>
      <c r="I439" s="34" t="s">
        <v>2335</v>
      </c>
      <c r="J439" s="27" t="s">
        <v>151</v>
      </c>
      <c r="K439" s="43" t="s">
        <v>2275</v>
      </c>
      <c r="L439" s="27" t="s">
        <v>15</v>
      </c>
      <c r="M439" s="27"/>
      <c r="N439" s="27" t="s">
        <v>15</v>
      </c>
    </row>
    <row r="440" spans="1:14">
      <c r="A440" s="262" t="s">
        <v>1736</v>
      </c>
      <c r="B440" s="262">
        <v>1</v>
      </c>
      <c r="C440" s="262" t="s">
        <v>1746</v>
      </c>
      <c r="D440" s="262" t="s">
        <v>1765</v>
      </c>
      <c r="E440" s="297">
        <v>28670319152951</v>
      </c>
      <c r="F440" s="262" t="s">
        <v>2673</v>
      </c>
      <c r="G440" s="298">
        <v>43717</v>
      </c>
      <c r="H440" s="299">
        <f t="shared" si="7"/>
        <v>6</v>
      </c>
      <c r="I440" s="298" t="s">
        <v>2335</v>
      </c>
      <c r="J440" s="262" t="s">
        <v>151</v>
      </c>
      <c r="K440" s="330" t="s">
        <v>2182</v>
      </c>
      <c r="L440" s="262" t="s">
        <v>1453</v>
      </c>
      <c r="M440" s="262"/>
      <c r="N440" s="262" t="s">
        <v>15</v>
      </c>
    </row>
    <row r="441" spans="1:14">
      <c r="A441" s="262" t="s">
        <v>1736</v>
      </c>
      <c r="B441" s="262">
        <v>1</v>
      </c>
      <c r="C441" s="262" t="s">
        <v>1746</v>
      </c>
      <c r="D441" s="262" t="s">
        <v>1747</v>
      </c>
      <c r="E441" s="297">
        <v>28670319152591</v>
      </c>
      <c r="F441" s="262" t="s">
        <v>2674</v>
      </c>
      <c r="G441" s="298">
        <v>43717</v>
      </c>
      <c r="H441" s="299">
        <f t="shared" si="7"/>
        <v>6</v>
      </c>
      <c r="I441" s="298" t="s">
        <v>2335</v>
      </c>
      <c r="J441" s="262" t="s">
        <v>151</v>
      </c>
      <c r="K441" s="330" t="s">
        <v>2182</v>
      </c>
      <c r="L441" s="262" t="s">
        <v>1453</v>
      </c>
      <c r="M441" s="262"/>
      <c r="N441" s="262" t="s">
        <v>15</v>
      </c>
    </row>
    <row r="442" spans="1:14">
      <c r="A442" s="324" t="s">
        <v>1781</v>
      </c>
      <c r="B442" s="316">
        <v>1</v>
      </c>
      <c r="C442" s="316" t="s">
        <v>1782</v>
      </c>
      <c r="D442" s="316">
        <v>701</v>
      </c>
      <c r="E442" s="316">
        <v>2610019928</v>
      </c>
      <c r="F442" s="317" t="s">
        <v>2675</v>
      </c>
      <c r="G442" s="318">
        <v>43728</v>
      </c>
      <c r="H442" s="319">
        <f t="shared" si="7"/>
        <v>6</v>
      </c>
      <c r="I442" s="318" t="s">
        <v>2336</v>
      </c>
      <c r="J442" s="316" t="s">
        <v>15</v>
      </c>
      <c r="K442" s="316" t="s">
        <v>2889</v>
      </c>
      <c r="L442" s="316" t="s">
        <v>17</v>
      </c>
      <c r="M442" s="316" t="s">
        <v>27</v>
      </c>
      <c r="N442" s="316" t="s">
        <v>15</v>
      </c>
    </row>
    <row r="443" spans="1:14">
      <c r="A443" s="280" t="s">
        <v>1317</v>
      </c>
      <c r="B443" s="280">
        <v>1</v>
      </c>
      <c r="C443" s="280" t="s">
        <v>1783</v>
      </c>
      <c r="D443" s="280" t="s">
        <v>1784</v>
      </c>
      <c r="E443" s="280" t="s">
        <v>1785</v>
      </c>
      <c r="F443" s="280" t="s">
        <v>2676</v>
      </c>
      <c r="G443" s="281">
        <v>43969</v>
      </c>
      <c r="H443" s="282">
        <f t="shared" si="7"/>
        <v>5</v>
      </c>
      <c r="I443" s="281" t="s">
        <v>2335</v>
      </c>
      <c r="J443" s="280" t="s">
        <v>15</v>
      </c>
      <c r="K443" s="280" t="s">
        <v>2944</v>
      </c>
      <c r="L443" s="280" t="s">
        <v>27</v>
      </c>
      <c r="M443" s="280" t="s">
        <v>27</v>
      </c>
      <c r="N443" s="280" t="s">
        <v>15</v>
      </c>
    </row>
    <row r="444" spans="1:14">
      <c r="A444" s="262" t="s">
        <v>1317</v>
      </c>
      <c r="B444" s="262">
        <v>1</v>
      </c>
      <c r="C444" s="262" t="s">
        <v>1786</v>
      </c>
      <c r="D444" s="262" t="s">
        <v>1787</v>
      </c>
      <c r="E444" s="262" t="s">
        <v>1788</v>
      </c>
      <c r="F444" s="262" t="s">
        <v>2677</v>
      </c>
      <c r="G444" s="264">
        <v>43831</v>
      </c>
      <c r="H444" s="271">
        <f t="shared" si="7"/>
        <v>5</v>
      </c>
      <c r="I444" s="264" t="s">
        <v>2335</v>
      </c>
      <c r="J444" s="262" t="s">
        <v>15</v>
      </c>
      <c r="K444" s="262" t="s">
        <v>15</v>
      </c>
      <c r="L444" s="262" t="s">
        <v>1453</v>
      </c>
      <c r="M444" s="262" t="s">
        <v>2936</v>
      </c>
      <c r="N444" s="262" t="s">
        <v>15</v>
      </c>
    </row>
    <row r="445" spans="1:14">
      <c r="A445" s="280" t="s">
        <v>1317</v>
      </c>
      <c r="B445" s="280">
        <v>1</v>
      </c>
      <c r="C445" s="280" t="s">
        <v>1529</v>
      </c>
      <c r="D445" s="302" t="s">
        <v>1319</v>
      </c>
      <c r="E445" s="280" t="s">
        <v>2953</v>
      </c>
      <c r="F445" s="280" t="s">
        <v>2949</v>
      </c>
      <c r="G445" s="281"/>
      <c r="H445" s="282"/>
      <c r="I445" s="281"/>
      <c r="J445" s="280"/>
      <c r="K445" s="280" t="s">
        <v>1823</v>
      </c>
      <c r="L445" s="280" t="s">
        <v>27</v>
      </c>
      <c r="M445" s="280" t="s">
        <v>27</v>
      </c>
      <c r="N445" s="280"/>
    </row>
    <row r="446" spans="1:14">
      <c r="A446" s="280" t="s">
        <v>1317</v>
      </c>
      <c r="B446" s="280">
        <v>1</v>
      </c>
      <c r="C446" s="280" t="s">
        <v>1529</v>
      </c>
      <c r="D446" s="302" t="s">
        <v>1319</v>
      </c>
      <c r="E446" s="280" t="s">
        <v>2952</v>
      </c>
      <c r="F446" s="280" t="s">
        <v>2950</v>
      </c>
      <c r="G446" s="281"/>
      <c r="H446" s="282"/>
      <c r="I446" s="281"/>
      <c r="J446" s="280"/>
      <c r="K446" s="280" t="s">
        <v>2951</v>
      </c>
      <c r="L446" s="280" t="s">
        <v>27</v>
      </c>
      <c r="M446" s="280" t="s">
        <v>27</v>
      </c>
      <c r="N446" s="280"/>
    </row>
    <row r="447" spans="1:14">
      <c r="A447" s="280" t="s">
        <v>1317</v>
      </c>
      <c r="B447" s="280">
        <v>1</v>
      </c>
      <c r="C447" s="280" t="s">
        <v>1529</v>
      </c>
      <c r="D447" s="302" t="s">
        <v>1319</v>
      </c>
      <c r="E447" s="280" t="s">
        <v>1789</v>
      </c>
      <c r="F447" s="280" t="s">
        <v>2678</v>
      </c>
      <c r="G447" s="281">
        <v>45372</v>
      </c>
      <c r="H447" s="282">
        <f t="shared" si="7"/>
        <v>1</v>
      </c>
      <c r="I447" s="281" t="s">
        <v>2335</v>
      </c>
      <c r="J447" s="280" t="s">
        <v>15</v>
      </c>
      <c r="K447" s="280" t="s">
        <v>15</v>
      </c>
      <c r="L447" s="280" t="s">
        <v>27</v>
      </c>
      <c r="M447" s="280" t="s">
        <v>27</v>
      </c>
      <c r="N447" s="280" t="s">
        <v>15</v>
      </c>
    </row>
    <row r="448" spans="1:14">
      <c r="A448" s="280" t="s">
        <v>1790</v>
      </c>
      <c r="B448" s="280">
        <v>1</v>
      </c>
      <c r="C448" s="280" t="s">
        <v>1791</v>
      </c>
      <c r="D448" s="280" t="s">
        <v>1792</v>
      </c>
      <c r="E448" s="280" t="s">
        <v>1793</v>
      </c>
      <c r="F448" s="280" t="s">
        <v>2679</v>
      </c>
      <c r="G448" s="281">
        <v>44692</v>
      </c>
      <c r="H448" s="282">
        <f t="shared" si="7"/>
        <v>3</v>
      </c>
      <c r="I448" s="281" t="s">
        <v>2335</v>
      </c>
      <c r="J448" s="280" t="s">
        <v>15</v>
      </c>
      <c r="K448" s="280" t="s">
        <v>2946</v>
      </c>
      <c r="L448" s="280" t="s">
        <v>27</v>
      </c>
      <c r="M448" s="280" t="s">
        <v>27</v>
      </c>
      <c r="N448" s="280" t="s">
        <v>15</v>
      </c>
    </row>
    <row r="449" spans="1:14">
      <c r="A449" s="280" t="s">
        <v>1790</v>
      </c>
      <c r="B449" s="280">
        <v>1</v>
      </c>
      <c r="C449" s="280" t="s">
        <v>1791</v>
      </c>
      <c r="D449" s="280" t="s">
        <v>1792</v>
      </c>
      <c r="E449" s="280" t="s">
        <v>1794</v>
      </c>
      <c r="F449" s="280" t="s">
        <v>2680</v>
      </c>
      <c r="G449" s="281">
        <v>44692</v>
      </c>
      <c r="H449" s="282">
        <f t="shared" si="7"/>
        <v>3</v>
      </c>
      <c r="I449" s="281" t="s">
        <v>2335</v>
      </c>
      <c r="J449" s="280" t="s">
        <v>15</v>
      </c>
      <c r="K449" s="280" t="s">
        <v>1620</v>
      </c>
      <c r="L449" s="280" t="s">
        <v>27</v>
      </c>
      <c r="M449" s="280" t="s">
        <v>27</v>
      </c>
      <c r="N449" s="280" t="s">
        <v>15</v>
      </c>
    </row>
    <row r="450" spans="1:14">
      <c r="A450" s="280" t="s">
        <v>1790</v>
      </c>
      <c r="B450" s="280">
        <v>1</v>
      </c>
      <c r="C450" s="280" t="s">
        <v>1791</v>
      </c>
      <c r="D450" s="280" t="s">
        <v>1792</v>
      </c>
      <c r="E450" s="280" t="s">
        <v>1795</v>
      </c>
      <c r="F450" s="280" t="s">
        <v>2681</v>
      </c>
      <c r="G450" s="281">
        <v>44692</v>
      </c>
      <c r="H450" s="282">
        <f t="shared" si="7"/>
        <v>3</v>
      </c>
      <c r="I450" s="281" t="s">
        <v>2335</v>
      </c>
      <c r="J450" s="280" t="s">
        <v>15</v>
      </c>
      <c r="K450" s="280" t="s">
        <v>1620</v>
      </c>
      <c r="L450" s="280" t="s">
        <v>27</v>
      </c>
      <c r="M450" s="280" t="s">
        <v>27</v>
      </c>
      <c r="N450" s="280" t="s">
        <v>15</v>
      </c>
    </row>
    <row r="451" spans="1:14">
      <c r="A451" s="280" t="s">
        <v>1790</v>
      </c>
      <c r="B451" s="280">
        <v>1</v>
      </c>
      <c r="C451" s="280" t="s">
        <v>1791</v>
      </c>
      <c r="D451" s="280" t="s">
        <v>1792</v>
      </c>
      <c r="E451" s="280" t="s">
        <v>1796</v>
      </c>
      <c r="F451" s="280" t="s">
        <v>2684</v>
      </c>
      <c r="G451" s="281">
        <v>44692</v>
      </c>
      <c r="H451" s="282">
        <f t="shared" si="7"/>
        <v>3</v>
      </c>
      <c r="I451" s="281" t="s">
        <v>2335</v>
      </c>
      <c r="J451" s="280" t="s">
        <v>15</v>
      </c>
      <c r="K451" s="280" t="s">
        <v>1620</v>
      </c>
      <c r="L451" s="280" t="s">
        <v>27</v>
      </c>
      <c r="M451" s="280" t="s">
        <v>27</v>
      </c>
      <c r="N451" s="280" t="s">
        <v>15</v>
      </c>
    </row>
    <row r="452" spans="1:14">
      <c r="A452" s="280" t="s">
        <v>1790</v>
      </c>
      <c r="B452" s="280">
        <v>1</v>
      </c>
      <c r="C452" s="280" t="s">
        <v>1791</v>
      </c>
      <c r="D452" s="280" t="s">
        <v>1792</v>
      </c>
      <c r="E452" s="280" t="s">
        <v>1797</v>
      </c>
      <c r="F452" s="280" t="s">
        <v>2683</v>
      </c>
      <c r="G452" s="281">
        <v>44692</v>
      </c>
      <c r="H452" s="282">
        <f t="shared" si="7"/>
        <v>3</v>
      </c>
      <c r="I452" s="281" t="s">
        <v>2335</v>
      </c>
      <c r="J452" s="280" t="s">
        <v>15</v>
      </c>
      <c r="K452" s="280" t="s">
        <v>1620</v>
      </c>
      <c r="L452" s="280" t="s">
        <v>27</v>
      </c>
      <c r="M452" s="280" t="s">
        <v>27</v>
      </c>
      <c r="N452" s="280" t="s">
        <v>15</v>
      </c>
    </row>
    <row r="453" spans="1:14">
      <c r="A453" s="280" t="s">
        <v>1790</v>
      </c>
      <c r="B453" s="280">
        <v>1</v>
      </c>
      <c r="C453" s="280" t="s">
        <v>1791</v>
      </c>
      <c r="D453" s="280" t="s">
        <v>1792</v>
      </c>
      <c r="E453" s="280" t="s">
        <v>1798</v>
      </c>
      <c r="F453" s="280" t="s">
        <v>2682</v>
      </c>
      <c r="G453" s="281">
        <v>44692</v>
      </c>
      <c r="H453" s="282">
        <f t="shared" si="7"/>
        <v>3</v>
      </c>
      <c r="I453" s="281" t="s">
        <v>2335</v>
      </c>
      <c r="J453" s="280" t="s">
        <v>15</v>
      </c>
      <c r="K453" s="280" t="s">
        <v>1620</v>
      </c>
      <c r="L453" s="280" t="s">
        <v>27</v>
      </c>
      <c r="M453" s="280" t="s">
        <v>27</v>
      </c>
      <c r="N453" s="280" t="s">
        <v>15</v>
      </c>
    </row>
    <row r="454" spans="1:14">
      <c r="A454" s="280" t="s">
        <v>1799</v>
      </c>
      <c r="B454" s="280">
        <v>1</v>
      </c>
      <c r="C454" s="279" t="s">
        <v>15</v>
      </c>
      <c r="D454" s="279" t="s">
        <v>15</v>
      </c>
      <c r="E454" s="285" t="s">
        <v>15</v>
      </c>
      <c r="F454" s="280" t="s">
        <v>2338</v>
      </c>
      <c r="G454" s="281" t="s">
        <v>15</v>
      </c>
      <c r="H454" s="282" t="e">
        <f t="shared" si="7"/>
        <v>#VALUE!</v>
      </c>
      <c r="I454" s="281" t="s">
        <v>2335</v>
      </c>
      <c r="J454" s="279" t="s">
        <v>15</v>
      </c>
      <c r="K454" s="279" t="s">
        <v>2968</v>
      </c>
      <c r="L454" s="280" t="s">
        <v>27</v>
      </c>
      <c r="M454" s="280" t="s">
        <v>27</v>
      </c>
      <c r="N454" s="280" t="s">
        <v>15</v>
      </c>
    </row>
    <row r="455" spans="1:14">
      <c r="A455" s="280" t="s">
        <v>1799</v>
      </c>
      <c r="B455" s="280">
        <v>1</v>
      </c>
      <c r="C455" s="279" t="s">
        <v>15</v>
      </c>
      <c r="D455" s="279" t="s">
        <v>15</v>
      </c>
      <c r="E455" s="285" t="s">
        <v>15</v>
      </c>
      <c r="F455" s="280" t="s">
        <v>2845</v>
      </c>
      <c r="G455" s="281" t="s">
        <v>15</v>
      </c>
      <c r="H455" s="282" t="e">
        <f t="shared" si="7"/>
        <v>#VALUE!</v>
      </c>
      <c r="I455" s="281" t="s">
        <v>2335</v>
      </c>
      <c r="J455" s="279" t="s">
        <v>15</v>
      </c>
      <c r="K455" s="279" t="s">
        <v>2968</v>
      </c>
      <c r="L455" s="280" t="s">
        <v>27</v>
      </c>
      <c r="M455" s="280" t="s">
        <v>27</v>
      </c>
      <c r="N455" s="280" t="s">
        <v>15</v>
      </c>
    </row>
    <row r="456" spans="1:14">
      <c r="A456" s="280" t="s">
        <v>1800</v>
      </c>
      <c r="B456" s="280">
        <v>1</v>
      </c>
      <c r="C456" s="280" t="s">
        <v>1801</v>
      </c>
      <c r="D456" s="280" t="s">
        <v>1802</v>
      </c>
      <c r="E456" s="280" t="s">
        <v>35</v>
      </c>
      <c r="F456" s="280" t="s">
        <v>2846</v>
      </c>
      <c r="G456" s="281">
        <v>43963</v>
      </c>
      <c r="H456" s="282">
        <f t="shared" si="7"/>
        <v>5</v>
      </c>
      <c r="I456" s="281" t="s">
        <v>2335</v>
      </c>
      <c r="J456" s="280" t="s">
        <v>15</v>
      </c>
      <c r="K456" s="280" t="s">
        <v>2902</v>
      </c>
      <c r="L456" s="234" t="s">
        <v>17</v>
      </c>
      <c r="M456" s="280" t="s">
        <v>27</v>
      </c>
      <c r="N456" s="280" t="s">
        <v>15</v>
      </c>
    </row>
    <row r="457" spans="1:14">
      <c r="A457" s="280" t="s">
        <v>1800</v>
      </c>
      <c r="B457" s="280">
        <v>1</v>
      </c>
      <c r="C457" s="280" t="s">
        <v>1801</v>
      </c>
      <c r="D457" s="280" t="s">
        <v>1802</v>
      </c>
      <c r="E457" s="280" t="s">
        <v>35</v>
      </c>
      <c r="F457" s="280" t="s">
        <v>2847</v>
      </c>
      <c r="G457" s="281">
        <v>43963</v>
      </c>
      <c r="H457" s="282">
        <f t="shared" si="7"/>
        <v>5</v>
      </c>
      <c r="I457" s="281" t="s">
        <v>2335</v>
      </c>
      <c r="J457" s="280" t="s">
        <v>15</v>
      </c>
      <c r="K457" s="280" t="s">
        <v>2902</v>
      </c>
      <c r="L457" s="234" t="s">
        <v>17</v>
      </c>
      <c r="M457" s="280" t="s">
        <v>27</v>
      </c>
      <c r="N457" s="280" t="s">
        <v>15</v>
      </c>
    </row>
    <row r="458" spans="1:14">
      <c r="A458" s="280" t="s">
        <v>1800</v>
      </c>
      <c r="B458" s="280">
        <v>1</v>
      </c>
      <c r="C458" s="280" t="s">
        <v>1801</v>
      </c>
      <c r="D458" s="280" t="s">
        <v>1802</v>
      </c>
      <c r="E458" s="280" t="s">
        <v>35</v>
      </c>
      <c r="F458" s="280" t="s">
        <v>2848</v>
      </c>
      <c r="G458" s="281">
        <v>43963</v>
      </c>
      <c r="H458" s="282">
        <f t="shared" si="7"/>
        <v>5</v>
      </c>
      <c r="I458" s="281" t="s">
        <v>2335</v>
      </c>
      <c r="J458" s="280" t="s">
        <v>15</v>
      </c>
      <c r="K458" s="280" t="s">
        <v>2902</v>
      </c>
      <c r="L458" s="234" t="s">
        <v>17</v>
      </c>
      <c r="M458" s="280" t="s">
        <v>27</v>
      </c>
      <c r="N458" s="280" t="s">
        <v>15</v>
      </c>
    </row>
    <row r="459" spans="1:14">
      <c r="A459" s="280" t="s">
        <v>1800</v>
      </c>
      <c r="B459" s="280">
        <v>1</v>
      </c>
      <c r="C459" s="280" t="s">
        <v>1801</v>
      </c>
      <c r="D459" s="280" t="s">
        <v>1802</v>
      </c>
      <c r="E459" s="280" t="s">
        <v>35</v>
      </c>
      <c r="F459" s="280" t="s">
        <v>2849</v>
      </c>
      <c r="G459" s="281">
        <v>43963</v>
      </c>
      <c r="H459" s="282">
        <f t="shared" si="7"/>
        <v>5</v>
      </c>
      <c r="I459" s="281" t="s">
        <v>2335</v>
      </c>
      <c r="J459" s="280" t="s">
        <v>15</v>
      </c>
      <c r="K459" s="280" t="s">
        <v>2885</v>
      </c>
      <c r="L459" s="234" t="s">
        <v>17</v>
      </c>
      <c r="M459" s="280" t="s">
        <v>27</v>
      </c>
      <c r="N459" s="280" t="s">
        <v>15</v>
      </c>
    </row>
    <row r="460" spans="1:14">
      <c r="A460" s="280" t="s">
        <v>1800</v>
      </c>
      <c r="B460" s="280">
        <v>1</v>
      </c>
      <c r="C460" s="280" t="s">
        <v>1801</v>
      </c>
      <c r="D460" s="280" t="s">
        <v>1802</v>
      </c>
      <c r="E460" s="280" t="s">
        <v>35</v>
      </c>
      <c r="F460" s="280" t="s">
        <v>2850</v>
      </c>
      <c r="G460" s="281">
        <v>43963</v>
      </c>
      <c r="H460" s="282">
        <f t="shared" si="7"/>
        <v>5</v>
      </c>
      <c r="I460" s="281" t="s">
        <v>2335</v>
      </c>
      <c r="J460" s="280" t="s">
        <v>15</v>
      </c>
      <c r="K460" s="280" t="s">
        <v>2885</v>
      </c>
      <c r="L460" s="234" t="s">
        <v>17</v>
      </c>
      <c r="M460" s="280" t="s">
        <v>27</v>
      </c>
      <c r="N460" s="280" t="s">
        <v>15</v>
      </c>
    </row>
    <row r="461" spans="1:14">
      <c r="A461" s="280" t="s">
        <v>1800</v>
      </c>
      <c r="B461" s="280">
        <v>1</v>
      </c>
      <c r="C461" s="280" t="s">
        <v>1801</v>
      </c>
      <c r="D461" s="280" t="s">
        <v>1802</v>
      </c>
      <c r="E461" s="280" t="s">
        <v>35</v>
      </c>
      <c r="F461" s="280" t="s">
        <v>2851</v>
      </c>
      <c r="G461" s="281">
        <v>43963</v>
      </c>
      <c r="H461" s="282">
        <f t="shared" si="7"/>
        <v>5</v>
      </c>
      <c r="I461" s="281" t="s">
        <v>2335</v>
      </c>
      <c r="J461" s="280" t="s">
        <v>15</v>
      </c>
      <c r="K461" s="280" t="s">
        <v>1222</v>
      </c>
      <c r="L461" s="234" t="s">
        <v>17</v>
      </c>
      <c r="M461" s="280" t="s">
        <v>27</v>
      </c>
      <c r="N461" s="280" t="s">
        <v>15</v>
      </c>
    </row>
    <row r="462" spans="1:14">
      <c r="A462" s="233" t="s">
        <v>1803</v>
      </c>
      <c r="B462" s="234">
        <v>1</v>
      </c>
      <c r="C462" s="234" t="s">
        <v>1804</v>
      </c>
      <c r="D462" s="234" t="s">
        <v>1805</v>
      </c>
      <c r="E462" s="234" t="s">
        <v>1806</v>
      </c>
      <c r="F462" s="243" t="s">
        <v>2685</v>
      </c>
      <c r="G462" s="237">
        <v>43717</v>
      </c>
      <c r="H462" s="268">
        <f t="shared" si="7"/>
        <v>6</v>
      </c>
      <c r="I462" s="237" t="s">
        <v>2335</v>
      </c>
      <c r="J462" s="234" t="s">
        <v>15</v>
      </c>
      <c r="K462" s="234" t="s">
        <v>15</v>
      </c>
      <c r="L462" s="234" t="s">
        <v>17</v>
      </c>
      <c r="M462" s="234"/>
      <c r="N462" s="234" t="s">
        <v>15</v>
      </c>
    </row>
    <row r="463" spans="1:14">
      <c r="A463" s="280" t="s">
        <v>1170</v>
      </c>
      <c r="B463" s="280">
        <v>1</v>
      </c>
      <c r="C463" s="280" t="s">
        <v>1440</v>
      </c>
      <c r="D463" s="280" t="s">
        <v>1441</v>
      </c>
      <c r="E463" s="280" t="s">
        <v>1807</v>
      </c>
      <c r="F463" s="280" t="s">
        <v>2686</v>
      </c>
      <c r="G463" s="281">
        <v>45269</v>
      </c>
      <c r="H463" s="282">
        <f t="shared" si="7"/>
        <v>2</v>
      </c>
      <c r="I463" s="281" t="s">
        <v>2335</v>
      </c>
      <c r="J463" s="280" t="s">
        <v>15</v>
      </c>
      <c r="K463" s="280" t="s">
        <v>1046</v>
      </c>
      <c r="L463" s="280" t="s">
        <v>27</v>
      </c>
      <c r="M463" s="280" t="s">
        <v>27</v>
      </c>
      <c r="N463" s="280" t="s">
        <v>15</v>
      </c>
    </row>
    <row r="464" spans="1:14">
      <c r="A464" s="280" t="s">
        <v>1170</v>
      </c>
      <c r="B464" s="280">
        <v>1</v>
      </c>
      <c r="C464" s="280" t="s">
        <v>1440</v>
      </c>
      <c r="D464" s="280" t="s">
        <v>1441</v>
      </c>
      <c r="E464" s="280" t="s">
        <v>1808</v>
      </c>
      <c r="F464" s="280" t="s">
        <v>2687</v>
      </c>
      <c r="G464" s="281">
        <v>45269</v>
      </c>
      <c r="H464" s="282">
        <f t="shared" si="7"/>
        <v>2</v>
      </c>
      <c r="I464" s="281" t="s">
        <v>2335</v>
      </c>
      <c r="J464" s="280" t="s">
        <v>15</v>
      </c>
      <c r="K464" s="280" t="s">
        <v>1046</v>
      </c>
      <c r="L464" s="280" t="s">
        <v>27</v>
      </c>
      <c r="M464" s="280" t="s">
        <v>27</v>
      </c>
      <c r="N464" s="280" t="s">
        <v>15</v>
      </c>
    </row>
    <row r="465" spans="1:14">
      <c r="A465" s="280" t="s">
        <v>1170</v>
      </c>
      <c r="B465" s="280">
        <v>1</v>
      </c>
      <c r="C465" s="280" t="s">
        <v>1440</v>
      </c>
      <c r="D465" s="280" t="s">
        <v>1441</v>
      </c>
      <c r="E465" s="280" t="s">
        <v>1809</v>
      </c>
      <c r="F465" s="280" t="s">
        <v>2688</v>
      </c>
      <c r="G465" s="281">
        <v>44993</v>
      </c>
      <c r="H465" s="282">
        <f t="shared" si="7"/>
        <v>2</v>
      </c>
      <c r="I465" s="281" t="s">
        <v>2335</v>
      </c>
      <c r="J465" s="280" t="s">
        <v>15</v>
      </c>
      <c r="K465" s="280" t="s">
        <v>78</v>
      </c>
      <c r="L465" s="280" t="s">
        <v>27</v>
      </c>
      <c r="M465" s="280" t="s">
        <v>27</v>
      </c>
      <c r="N465" s="280" t="s">
        <v>15</v>
      </c>
    </row>
    <row r="466" spans="1:14">
      <c r="A466" s="280" t="s">
        <v>1170</v>
      </c>
      <c r="B466" s="280">
        <v>1</v>
      </c>
      <c r="C466" s="280" t="s">
        <v>1440</v>
      </c>
      <c r="D466" s="280" t="s">
        <v>1441</v>
      </c>
      <c r="E466" s="280" t="s">
        <v>1810</v>
      </c>
      <c r="F466" s="280" t="s">
        <v>2689</v>
      </c>
      <c r="G466" s="281">
        <v>44993</v>
      </c>
      <c r="H466" s="282">
        <f t="shared" si="7"/>
        <v>2</v>
      </c>
      <c r="I466" s="281" t="s">
        <v>2335</v>
      </c>
      <c r="J466" s="280" t="s">
        <v>15</v>
      </c>
      <c r="K466" s="280" t="s">
        <v>78</v>
      </c>
      <c r="L466" s="280" t="s">
        <v>27</v>
      </c>
      <c r="M466" s="280" t="s">
        <v>27</v>
      </c>
      <c r="N466" s="280" t="s">
        <v>15</v>
      </c>
    </row>
    <row r="467" spans="1:14">
      <c r="A467" s="280" t="s">
        <v>1170</v>
      </c>
      <c r="B467" s="280">
        <v>1</v>
      </c>
      <c r="C467" s="280" t="s">
        <v>1440</v>
      </c>
      <c r="D467" s="280" t="s">
        <v>1441</v>
      </c>
      <c r="E467" s="280" t="s">
        <v>1811</v>
      </c>
      <c r="F467" s="280" t="s">
        <v>2690</v>
      </c>
      <c r="G467" s="281">
        <v>44993</v>
      </c>
      <c r="H467" s="282">
        <f t="shared" si="7"/>
        <v>2</v>
      </c>
      <c r="I467" s="281" t="s">
        <v>2335</v>
      </c>
      <c r="J467" s="280" t="s">
        <v>15</v>
      </c>
      <c r="K467" s="280" t="s">
        <v>78</v>
      </c>
      <c r="L467" s="280" t="s">
        <v>27</v>
      </c>
      <c r="M467" s="280" t="s">
        <v>27</v>
      </c>
      <c r="N467" s="280" t="s">
        <v>15</v>
      </c>
    </row>
    <row r="468" spans="1:14">
      <c r="A468" s="317" t="s">
        <v>1170</v>
      </c>
      <c r="B468" s="317">
        <v>1</v>
      </c>
      <c r="C468" s="317" t="s">
        <v>1337</v>
      </c>
      <c r="D468" s="317" t="s">
        <v>1338</v>
      </c>
      <c r="E468" s="317" t="s">
        <v>1812</v>
      </c>
      <c r="F468" s="317" t="s">
        <v>2691</v>
      </c>
      <c r="G468" s="320">
        <v>43717</v>
      </c>
      <c r="H468" s="321">
        <f t="shared" si="7"/>
        <v>6</v>
      </c>
      <c r="I468" s="320" t="s">
        <v>1156</v>
      </c>
      <c r="J468" s="317" t="s">
        <v>15</v>
      </c>
      <c r="K468" s="317" t="s">
        <v>1182</v>
      </c>
      <c r="L468" s="317" t="s">
        <v>27</v>
      </c>
      <c r="M468" s="317" t="s">
        <v>27</v>
      </c>
      <c r="N468" s="317" t="s">
        <v>15</v>
      </c>
    </row>
    <row r="469" spans="1:14">
      <c r="A469" s="262" t="s">
        <v>1170</v>
      </c>
      <c r="B469" s="262">
        <v>1</v>
      </c>
      <c r="C469" s="262" t="s">
        <v>1337</v>
      </c>
      <c r="D469" s="262" t="s">
        <v>1338</v>
      </c>
      <c r="E469" s="262" t="s">
        <v>1813</v>
      </c>
      <c r="F469" s="262" t="s">
        <v>2692</v>
      </c>
      <c r="G469" s="264">
        <v>43717</v>
      </c>
      <c r="H469" s="271">
        <f t="shared" si="7"/>
        <v>6</v>
      </c>
      <c r="I469" s="264" t="s">
        <v>1156</v>
      </c>
      <c r="J469" s="262" t="s">
        <v>25</v>
      </c>
      <c r="K469" s="262" t="s">
        <v>1814</v>
      </c>
      <c r="L469" s="262" t="s">
        <v>1453</v>
      </c>
      <c r="M469" s="262"/>
      <c r="N469" s="262" t="s">
        <v>15</v>
      </c>
    </row>
    <row r="470" spans="1:14">
      <c r="A470" s="262" t="s">
        <v>1170</v>
      </c>
      <c r="B470" s="262">
        <v>1</v>
      </c>
      <c r="C470" s="262" t="s">
        <v>1337</v>
      </c>
      <c r="D470" s="262" t="s">
        <v>1338</v>
      </c>
      <c r="E470" s="262" t="s">
        <v>1815</v>
      </c>
      <c r="F470" s="262" t="s">
        <v>2693</v>
      </c>
      <c r="G470" s="264">
        <v>43717</v>
      </c>
      <c r="H470" s="271">
        <f t="shared" si="7"/>
        <v>6</v>
      </c>
      <c r="I470" s="264" t="s">
        <v>1156</v>
      </c>
      <c r="J470" s="262" t="s">
        <v>25</v>
      </c>
      <c r="K470" s="262" t="s">
        <v>1814</v>
      </c>
      <c r="L470" s="262" t="s">
        <v>1453</v>
      </c>
      <c r="M470" s="262"/>
      <c r="N470" s="262" t="s">
        <v>15</v>
      </c>
    </row>
    <row r="471" spans="1:14">
      <c r="A471" s="262" t="s">
        <v>1170</v>
      </c>
      <c r="B471" s="262">
        <v>1</v>
      </c>
      <c r="C471" s="262" t="s">
        <v>1337</v>
      </c>
      <c r="D471" s="262" t="s">
        <v>1338</v>
      </c>
      <c r="E471" s="262" t="s">
        <v>1816</v>
      </c>
      <c r="F471" s="262" t="s">
        <v>2694</v>
      </c>
      <c r="G471" s="264">
        <v>43717</v>
      </c>
      <c r="H471" s="271">
        <f t="shared" si="7"/>
        <v>6</v>
      </c>
      <c r="I471" s="264" t="s">
        <v>1156</v>
      </c>
      <c r="J471" s="262" t="s">
        <v>25</v>
      </c>
      <c r="K471" s="262" t="s">
        <v>1814</v>
      </c>
      <c r="L471" s="262" t="s">
        <v>1453</v>
      </c>
      <c r="M471" s="262"/>
      <c r="N471" s="262" t="s">
        <v>15</v>
      </c>
    </row>
    <row r="472" spans="1:14">
      <c r="A472" s="262" t="s">
        <v>1170</v>
      </c>
      <c r="B472" s="262">
        <v>1</v>
      </c>
      <c r="C472" s="262" t="s">
        <v>1337</v>
      </c>
      <c r="D472" s="262" t="s">
        <v>1338</v>
      </c>
      <c r="E472" s="262" t="s">
        <v>1817</v>
      </c>
      <c r="F472" s="262" t="s">
        <v>2695</v>
      </c>
      <c r="G472" s="264">
        <v>43717</v>
      </c>
      <c r="H472" s="271">
        <f t="shared" si="7"/>
        <v>6</v>
      </c>
      <c r="I472" s="264" t="s">
        <v>1156</v>
      </c>
      <c r="J472" s="262" t="s">
        <v>25</v>
      </c>
      <c r="K472" s="262" t="s">
        <v>1814</v>
      </c>
      <c r="L472" s="262" t="s">
        <v>1453</v>
      </c>
      <c r="M472" s="262"/>
      <c r="N472" s="262" t="s">
        <v>15</v>
      </c>
    </row>
    <row r="473" spans="1:14">
      <c r="A473" s="317" t="s">
        <v>1170</v>
      </c>
      <c r="B473" s="317">
        <v>1</v>
      </c>
      <c r="C473" s="317" t="s">
        <v>1337</v>
      </c>
      <c r="D473" s="317" t="s">
        <v>1338</v>
      </c>
      <c r="E473" s="317" t="s">
        <v>1818</v>
      </c>
      <c r="F473" s="317" t="s">
        <v>2696</v>
      </c>
      <c r="G473" s="320">
        <v>43717</v>
      </c>
      <c r="H473" s="321">
        <f t="shared" si="7"/>
        <v>6</v>
      </c>
      <c r="I473" s="320" t="s">
        <v>1156</v>
      </c>
      <c r="J473" s="317" t="s">
        <v>15</v>
      </c>
      <c r="K473" s="317" t="s">
        <v>1222</v>
      </c>
      <c r="L473" s="317" t="s">
        <v>27</v>
      </c>
      <c r="M473" s="317"/>
      <c r="N473" s="317" t="s">
        <v>15</v>
      </c>
    </row>
    <row r="474" spans="1:14">
      <c r="A474" s="317" t="s">
        <v>1170</v>
      </c>
      <c r="B474" s="317">
        <v>1</v>
      </c>
      <c r="C474" s="317" t="s">
        <v>1337</v>
      </c>
      <c r="D474" s="317" t="s">
        <v>1338</v>
      </c>
      <c r="E474" s="317" t="s">
        <v>1819</v>
      </c>
      <c r="F474" s="317" t="s">
        <v>2697</v>
      </c>
      <c r="G474" s="320">
        <v>43717</v>
      </c>
      <c r="H474" s="321">
        <f t="shared" si="7"/>
        <v>6</v>
      </c>
      <c r="I474" s="320" t="s">
        <v>1156</v>
      </c>
      <c r="J474" s="317" t="s">
        <v>15</v>
      </c>
      <c r="K474" s="317" t="s">
        <v>2901</v>
      </c>
      <c r="L474" s="317" t="s">
        <v>27</v>
      </c>
      <c r="M474" s="317"/>
      <c r="N474" s="317" t="s">
        <v>15</v>
      </c>
    </row>
    <row r="475" spans="1:14">
      <c r="A475" s="317" t="s">
        <v>1170</v>
      </c>
      <c r="B475" s="317">
        <v>1</v>
      </c>
      <c r="C475" s="317" t="s">
        <v>1337</v>
      </c>
      <c r="D475" s="317" t="s">
        <v>1338</v>
      </c>
      <c r="E475" s="317" t="s">
        <v>1820</v>
      </c>
      <c r="F475" s="317" t="s">
        <v>2698</v>
      </c>
      <c r="G475" s="320">
        <v>43717</v>
      </c>
      <c r="H475" s="321">
        <f t="shared" si="7"/>
        <v>6</v>
      </c>
      <c r="I475" s="320" t="s">
        <v>1156</v>
      </c>
      <c r="J475" s="317" t="s">
        <v>15</v>
      </c>
      <c r="K475" s="317" t="s">
        <v>1222</v>
      </c>
      <c r="L475" s="317" t="s">
        <v>27</v>
      </c>
      <c r="M475" s="317"/>
      <c r="N475" s="317" t="s">
        <v>15</v>
      </c>
    </row>
    <row r="476" spans="1:14">
      <c r="A476" s="262" t="s">
        <v>1170</v>
      </c>
      <c r="B476" s="262">
        <v>1</v>
      </c>
      <c r="C476" s="262" t="s">
        <v>1337</v>
      </c>
      <c r="D476" s="262" t="s">
        <v>1338</v>
      </c>
      <c r="E476" s="262" t="s">
        <v>1821</v>
      </c>
      <c r="F476" s="262" t="s">
        <v>2699</v>
      </c>
      <c r="G476" s="264">
        <v>43717</v>
      </c>
      <c r="H476" s="271">
        <f t="shared" si="7"/>
        <v>6</v>
      </c>
      <c r="I476" s="264" t="s">
        <v>1156</v>
      </c>
      <c r="J476" s="262" t="s">
        <v>25</v>
      </c>
      <c r="K476" s="262" t="s">
        <v>1814</v>
      </c>
      <c r="L476" s="262" t="s">
        <v>1453</v>
      </c>
      <c r="M476" s="262"/>
      <c r="N476" s="262" t="s">
        <v>15</v>
      </c>
    </row>
    <row r="477" spans="1:14">
      <c r="A477" s="317" t="s">
        <v>1170</v>
      </c>
      <c r="B477" s="317">
        <v>1</v>
      </c>
      <c r="C477" s="317" t="s">
        <v>1337</v>
      </c>
      <c r="D477" s="317" t="s">
        <v>1338</v>
      </c>
      <c r="E477" s="317" t="s">
        <v>1822</v>
      </c>
      <c r="F477" s="317" t="s">
        <v>2700</v>
      </c>
      <c r="G477" s="320">
        <v>43717</v>
      </c>
      <c r="H477" s="321">
        <f t="shared" si="7"/>
        <v>6</v>
      </c>
      <c r="I477" s="320" t="s">
        <v>1156</v>
      </c>
      <c r="J477" s="317" t="s">
        <v>15</v>
      </c>
      <c r="K477" s="317" t="s">
        <v>1823</v>
      </c>
      <c r="L477" s="317" t="s">
        <v>27</v>
      </c>
      <c r="M477" s="317"/>
      <c r="N477" s="317" t="s">
        <v>15</v>
      </c>
    </row>
    <row r="478" spans="1:14">
      <c r="A478" s="317" t="s">
        <v>1170</v>
      </c>
      <c r="B478" s="317">
        <v>1</v>
      </c>
      <c r="C478" s="317" t="s">
        <v>1337</v>
      </c>
      <c r="D478" s="317" t="s">
        <v>1338</v>
      </c>
      <c r="E478" s="317" t="s">
        <v>1824</v>
      </c>
      <c r="F478" s="317" t="s">
        <v>2701</v>
      </c>
      <c r="G478" s="320">
        <v>44264</v>
      </c>
      <c r="H478" s="321">
        <f t="shared" si="7"/>
        <v>4</v>
      </c>
      <c r="I478" s="320" t="s">
        <v>1156</v>
      </c>
      <c r="J478" s="317" t="s">
        <v>15</v>
      </c>
      <c r="K478" s="317" t="s">
        <v>1620</v>
      </c>
      <c r="L478" s="317" t="s">
        <v>27</v>
      </c>
      <c r="M478" s="317"/>
      <c r="N478" s="317" t="s">
        <v>15</v>
      </c>
    </row>
    <row r="479" spans="1:14">
      <c r="A479" s="317" t="s">
        <v>1170</v>
      </c>
      <c r="B479" s="317">
        <v>1</v>
      </c>
      <c r="C479" s="317" t="s">
        <v>1337</v>
      </c>
      <c r="D479" s="317" t="s">
        <v>1338</v>
      </c>
      <c r="E479" s="317" t="s">
        <v>1825</v>
      </c>
      <c r="F479" s="317" t="s">
        <v>2702</v>
      </c>
      <c r="G479" s="320">
        <v>44264</v>
      </c>
      <c r="H479" s="321">
        <f t="shared" si="7"/>
        <v>4</v>
      </c>
      <c r="I479" s="320" t="s">
        <v>1156</v>
      </c>
      <c r="J479" s="317" t="s">
        <v>15</v>
      </c>
      <c r="K479" s="317" t="s">
        <v>1182</v>
      </c>
      <c r="L479" s="317" t="s">
        <v>27</v>
      </c>
      <c r="M479" s="317"/>
      <c r="N479" s="317" t="s">
        <v>15</v>
      </c>
    </row>
    <row r="480" spans="1:14">
      <c r="A480" s="317" t="s">
        <v>1170</v>
      </c>
      <c r="B480" s="317">
        <v>1</v>
      </c>
      <c r="C480" s="317" t="s">
        <v>1337</v>
      </c>
      <c r="D480" s="317" t="s">
        <v>1338</v>
      </c>
      <c r="E480" s="317" t="s">
        <v>1826</v>
      </c>
      <c r="F480" s="317" t="s">
        <v>2703</v>
      </c>
      <c r="G480" s="320">
        <v>43717</v>
      </c>
      <c r="H480" s="321">
        <f t="shared" si="7"/>
        <v>6</v>
      </c>
      <c r="I480" s="320" t="s">
        <v>1156</v>
      </c>
      <c r="J480" s="317" t="s">
        <v>15</v>
      </c>
      <c r="K480" s="317" t="s">
        <v>2901</v>
      </c>
      <c r="L480" s="317" t="s">
        <v>27</v>
      </c>
      <c r="M480" s="317"/>
      <c r="N480" s="317" t="s">
        <v>15</v>
      </c>
    </row>
    <row r="481" spans="1:14">
      <c r="A481" s="317" t="s">
        <v>1170</v>
      </c>
      <c r="B481" s="317">
        <v>1</v>
      </c>
      <c r="C481" s="317" t="s">
        <v>1337</v>
      </c>
      <c r="D481" s="317" t="s">
        <v>1338</v>
      </c>
      <c r="E481" s="317" t="s">
        <v>1827</v>
      </c>
      <c r="F481" s="317" t="s">
        <v>2704</v>
      </c>
      <c r="G481" s="320">
        <v>44264</v>
      </c>
      <c r="H481" s="321">
        <f t="shared" si="7"/>
        <v>4</v>
      </c>
      <c r="I481" s="320" t="s">
        <v>1156</v>
      </c>
      <c r="J481" s="317" t="s">
        <v>15</v>
      </c>
      <c r="K481" s="317" t="s">
        <v>1814</v>
      </c>
      <c r="L481" s="317" t="s">
        <v>27</v>
      </c>
      <c r="M481" s="317"/>
      <c r="N481" s="317" t="s">
        <v>15</v>
      </c>
    </row>
    <row r="482" spans="1:14">
      <c r="A482" s="262" t="s">
        <v>1170</v>
      </c>
      <c r="B482" s="262">
        <v>1</v>
      </c>
      <c r="C482" s="262" t="s">
        <v>1337</v>
      </c>
      <c r="D482" s="262" t="s">
        <v>1338</v>
      </c>
      <c r="E482" s="262" t="s">
        <v>1829</v>
      </c>
      <c r="F482" s="262" t="s">
        <v>2705</v>
      </c>
      <c r="G482" s="264">
        <v>43717</v>
      </c>
      <c r="H482" s="271">
        <f t="shared" si="7"/>
        <v>6</v>
      </c>
      <c r="I482" s="264" t="s">
        <v>1156</v>
      </c>
      <c r="J482" s="262" t="s">
        <v>25</v>
      </c>
      <c r="K482" s="262" t="s">
        <v>1814</v>
      </c>
      <c r="L482" s="262" t="s">
        <v>1453</v>
      </c>
      <c r="M482" s="262"/>
      <c r="N482" s="262" t="s">
        <v>15</v>
      </c>
    </row>
    <row r="483" spans="1:14">
      <c r="A483" s="262" t="s">
        <v>1170</v>
      </c>
      <c r="B483" s="262">
        <v>1</v>
      </c>
      <c r="C483" s="262" t="s">
        <v>1337</v>
      </c>
      <c r="D483" s="262" t="s">
        <v>1338</v>
      </c>
      <c r="E483" s="262" t="s">
        <v>1830</v>
      </c>
      <c r="F483" s="262" t="s">
        <v>2706</v>
      </c>
      <c r="G483" s="264">
        <v>43717</v>
      </c>
      <c r="H483" s="271">
        <f t="shared" ref="H483:H540" si="8">ABS(YEAR(G483)-2025)</f>
        <v>6</v>
      </c>
      <c r="I483" s="264" t="s">
        <v>1156</v>
      </c>
      <c r="J483" s="262" t="s">
        <v>25</v>
      </c>
      <c r="K483" s="262" t="s">
        <v>1814</v>
      </c>
      <c r="L483" s="262" t="s">
        <v>1453</v>
      </c>
      <c r="M483" s="262"/>
      <c r="N483" s="262" t="s">
        <v>15</v>
      </c>
    </row>
    <row r="484" spans="1:14">
      <c r="A484" s="317" t="s">
        <v>1170</v>
      </c>
      <c r="B484" s="317">
        <v>1</v>
      </c>
      <c r="C484" s="317" t="s">
        <v>1337</v>
      </c>
      <c r="D484" s="317" t="s">
        <v>1338</v>
      </c>
      <c r="E484" s="317" t="s">
        <v>1831</v>
      </c>
      <c r="F484" s="317" t="s">
        <v>2707</v>
      </c>
      <c r="G484" s="320">
        <v>43717</v>
      </c>
      <c r="H484" s="321">
        <f t="shared" si="8"/>
        <v>6</v>
      </c>
      <c r="I484" s="320" t="s">
        <v>1156</v>
      </c>
      <c r="J484" s="317" t="s">
        <v>15</v>
      </c>
      <c r="K484" s="317" t="s">
        <v>1222</v>
      </c>
      <c r="L484" s="317" t="s">
        <v>27</v>
      </c>
      <c r="M484" s="317"/>
      <c r="N484" s="317" t="s">
        <v>15</v>
      </c>
    </row>
    <row r="485" spans="1:14">
      <c r="A485" s="317" t="s">
        <v>1170</v>
      </c>
      <c r="B485" s="317">
        <v>1</v>
      </c>
      <c r="C485" s="317" t="s">
        <v>1337</v>
      </c>
      <c r="D485" s="317" t="s">
        <v>1338</v>
      </c>
      <c r="E485" s="317" t="s">
        <v>1832</v>
      </c>
      <c r="F485" s="317" t="s">
        <v>2708</v>
      </c>
      <c r="G485" s="320">
        <v>43717</v>
      </c>
      <c r="H485" s="321">
        <f t="shared" si="8"/>
        <v>6</v>
      </c>
      <c r="I485" s="320" t="s">
        <v>1156</v>
      </c>
      <c r="J485" s="317" t="s">
        <v>15</v>
      </c>
      <c r="K485" s="317" t="s">
        <v>1222</v>
      </c>
      <c r="L485" s="317" t="s">
        <v>27</v>
      </c>
      <c r="M485" s="317"/>
      <c r="N485" s="317" t="s">
        <v>15</v>
      </c>
    </row>
    <row r="486" spans="1:14">
      <c r="A486" s="317" t="s">
        <v>1170</v>
      </c>
      <c r="B486" s="317">
        <v>1</v>
      </c>
      <c r="C486" s="317" t="s">
        <v>1337</v>
      </c>
      <c r="D486" s="317" t="s">
        <v>1338</v>
      </c>
      <c r="E486" s="317" t="s">
        <v>1833</v>
      </c>
      <c r="F486" s="317" t="s">
        <v>2709</v>
      </c>
      <c r="G486" s="320">
        <v>44264</v>
      </c>
      <c r="H486" s="321">
        <f t="shared" si="8"/>
        <v>4</v>
      </c>
      <c r="I486" s="320" t="s">
        <v>1156</v>
      </c>
      <c r="J486" s="317" t="s">
        <v>15</v>
      </c>
      <c r="K486" s="317" t="s">
        <v>2901</v>
      </c>
      <c r="L486" s="317" t="s">
        <v>27</v>
      </c>
      <c r="M486" s="317"/>
      <c r="N486" s="317" t="s">
        <v>15</v>
      </c>
    </row>
    <row r="487" spans="1:14">
      <c r="A487" s="317" t="s">
        <v>1170</v>
      </c>
      <c r="B487" s="317">
        <v>1</v>
      </c>
      <c r="C487" s="317" t="s">
        <v>1337</v>
      </c>
      <c r="D487" s="317" t="s">
        <v>1338</v>
      </c>
      <c r="E487" s="317" t="s">
        <v>1834</v>
      </c>
      <c r="F487" s="317" t="s">
        <v>2710</v>
      </c>
      <c r="G487" s="320">
        <v>43717</v>
      </c>
      <c r="H487" s="321">
        <f t="shared" si="8"/>
        <v>6</v>
      </c>
      <c r="I487" s="320" t="s">
        <v>1156</v>
      </c>
      <c r="J487" s="317" t="s">
        <v>15</v>
      </c>
      <c r="K487" s="317" t="s">
        <v>1814</v>
      </c>
      <c r="L487" s="317" t="s">
        <v>27</v>
      </c>
      <c r="M487" s="317"/>
      <c r="N487" s="317" t="s">
        <v>15</v>
      </c>
    </row>
    <row r="488" spans="1:14">
      <c r="A488" s="262" t="s">
        <v>1170</v>
      </c>
      <c r="B488" s="262">
        <v>1</v>
      </c>
      <c r="C488" s="262" t="s">
        <v>1337</v>
      </c>
      <c r="D488" s="262" t="s">
        <v>1338</v>
      </c>
      <c r="E488" s="262" t="s">
        <v>1835</v>
      </c>
      <c r="F488" s="262" t="s">
        <v>2711</v>
      </c>
      <c r="G488" s="264">
        <v>43717</v>
      </c>
      <c r="H488" s="271">
        <f t="shared" si="8"/>
        <v>6</v>
      </c>
      <c r="I488" s="264" t="s">
        <v>1156</v>
      </c>
      <c r="J488" s="262" t="s">
        <v>25</v>
      </c>
      <c r="K488" s="262" t="s">
        <v>1814</v>
      </c>
      <c r="L488" s="262" t="s">
        <v>1453</v>
      </c>
      <c r="M488" s="262"/>
      <c r="N488" s="262" t="s">
        <v>15</v>
      </c>
    </row>
    <row r="489" spans="1:14">
      <c r="A489" s="262" t="s">
        <v>1170</v>
      </c>
      <c r="B489" s="262">
        <v>1</v>
      </c>
      <c r="C489" s="262" t="s">
        <v>1337</v>
      </c>
      <c r="D489" s="262" t="s">
        <v>1338</v>
      </c>
      <c r="E489" s="262" t="s">
        <v>1836</v>
      </c>
      <c r="F489" s="262" t="s">
        <v>2712</v>
      </c>
      <c r="G489" s="264">
        <v>43717</v>
      </c>
      <c r="H489" s="271">
        <f t="shared" si="8"/>
        <v>6</v>
      </c>
      <c r="I489" s="264" t="s">
        <v>1156</v>
      </c>
      <c r="J489" s="262" t="s">
        <v>25</v>
      </c>
      <c r="K489" s="262" t="s">
        <v>1814</v>
      </c>
      <c r="L489" s="262" t="s">
        <v>1453</v>
      </c>
      <c r="M489" s="262"/>
      <c r="N489" s="262" t="s">
        <v>15</v>
      </c>
    </row>
    <row r="490" spans="1:14">
      <c r="A490" s="317" t="s">
        <v>1170</v>
      </c>
      <c r="B490" s="317">
        <v>1</v>
      </c>
      <c r="C490" s="317" t="s">
        <v>1337</v>
      </c>
      <c r="D490" s="317" t="s">
        <v>1338</v>
      </c>
      <c r="E490" s="317" t="s">
        <v>1837</v>
      </c>
      <c r="F490" s="317" t="s">
        <v>2713</v>
      </c>
      <c r="G490" s="320">
        <v>43717</v>
      </c>
      <c r="H490" s="321">
        <f t="shared" si="8"/>
        <v>6</v>
      </c>
      <c r="I490" s="320" t="s">
        <v>1156</v>
      </c>
      <c r="J490" s="317" t="s">
        <v>15</v>
      </c>
      <c r="K490" s="317" t="s">
        <v>2901</v>
      </c>
      <c r="L490" s="317" t="s">
        <v>27</v>
      </c>
      <c r="M490" s="317"/>
      <c r="N490" s="317" t="s">
        <v>15</v>
      </c>
    </row>
    <row r="491" spans="1:14">
      <c r="A491" s="262" t="s">
        <v>1170</v>
      </c>
      <c r="B491" s="262">
        <v>1</v>
      </c>
      <c r="C491" s="262" t="s">
        <v>1337</v>
      </c>
      <c r="D491" s="262" t="s">
        <v>1338</v>
      </c>
      <c r="E491" s="262" t="s">
        <v>1838</v>
      </c>
      <c r="F491" s="262" t="s">
        <v>2714</v>
      </c>
      <c r="G491" s="264">
        <v>43717</v>
      </c>
      <c r="H491" s="271">
        <f t="shared" si="8"/>
        <v>6</v>
      </c>
      <c r="I491" s="264" t="s">
        <v>1156</v>
      </c>
      <c r="J491" s="262" t="s">
        <v>25</v>
      </c>
      <c r="K491" s="262" t="s">
        <v>1814</v>
      </c>
      <c r="L491" s="262" t="s">
        <v>1453</v>
      </c>
      <c r="M491" s="262"/>
      <c r="N491" s="262" t="s">
        <v>15</v>
      </c>
    </row>
    <row r="492" spans="1:14">
      <c r="A492" s="317" t="s">
        <v>1170</v>
      </c>
      <c r="B492" s="317">
        <v>1</v>
      </c>
      <c r="C492" s="317" t="s">
        <v>1337</v>
      </c>
      <c r="D492" s="317" t="s">
        <v>1338</v>
      </c>
      <c r="E492" s="317" t="s">
        <v>1839</v>
      </c>
      <c r="F492" s="317" t="s">
        <v>2715</v>
      </c>
      <c r="G492" s="320">
        <v>43717</v>
      </c>
      <c r="H492" s="321">
        <f t="shared" si="8"/>
        <v>6</v>
      </c>
      <c r="I492" s="320" t="s">
        <v>1156</v>
      </c>
      <c r="J492" s="317" t="s">
        <v>15</v>
      </c>
      <c r="K492" s="317" t="s">
        <v>2901</v>
      </c>
      <c r="L492" s="317" t="s">
        <v>27</v>
      </c>
      <c r="M492" s="317"/>
      <c r="N492" s="317" t="s">
        <v>15</v>
      </c>
    </row>
    <row r="493" spans="1:14">
      <c r="A493" s="262" t="s">
        <v>1170</v>
      </c>
      <c r="B493" s="262">
        <v>1</v>
      </c>
      <c r="C493" s="262" t="s">
        <v>1337</v>
      </c>
      <c r="D493" s="262" t="s">
        <v>1338</v>
      </c>
      <c r="E493" s="262" t="s">
        <v>1840</v>
      </c>
      <c r="F493" s="262" t="s">
        <v>2716</v>
      </c>
      <c r="G493" s="264">
        <v>43717</v>
      </c>
      <c r="H493" s="271">
        <f t="shared" si="8"/>
        <v>6</v>
      </c>
      <c r="I493" s="264" t="s">
        <v>1156</v>
      </c>
      <c r="J493" s="262" t="s">
        <v>25</v>
      </c>
      <c r="K493" s="262" t="s">
        <v>1814</v>
      </c>
      <c r="L493" s="262" t="s">
        <v>1453</v>
      </c>
      <c r="M493" s="262"/>
      <c r="N493" s="262" t="s">
        <v>15</v>
      </c>
    </row>
    <row r="494" spans="1:14">
      <c r="A494" s="317" t="s">
        <v>1170</v>
      </c>
      <c r="B494" s="317">
        <v>1</v>
      </c>
      <c r="C494" s="317" t="s">
        <v>1337</v>
      </c>
      <c r="D494" s="317" t="s">
        <v>1338</v>
      </c>
      <c r="E494" s="317" t="s">
        <v>1841</v>
      </c>
      <c r="F494" s="317" t="s">
        <v>2717</v>
      </c>
      <c r="G494" s="320">
        <v>43717</v>
      </c>
      <c r="H494" s="321">
        <f t="shared" si="8"/>
        <v>6</v>
      </c>
      <c r="I494" s="320" t="s">
        <v>1156</v>
      </c>
      <c r="J494" s="317" t="s">
        <v>15</v>
      </c>
      <c r="K494" s="317" t="s">
        <v>1814</v>
      </c>
      <c r="L494" s="317" t="s">
        <v>27</v>
      </c>
      <c r="M494" s="317"/>
      <c r="N494" s="317" t="s">
        <v>15</v>
      </c>
    </row>
    <row r="495" spans="1:14">
      <c r="A495" s="262" t="s">
        <v>1170</v>
      </c>
      <c r="B495" s="262">
        <v>1</v>
      </c>
      <c r="C495" s="262" t="s">
        <v>1337</v>
      </c>
      <c r="D495" s="262" t="s">
        <v>1338</v>
      </c>
      <c r="E495" s="262" t="s">
        <v>1842</v>
      </c>
      <c r="F495" s="262" t="s">
        <v>2718</v>
      </c>
      <c r="G495" s="264">
        <v>43717</v>
      </c>
      <c r="H495" s="271">
        <f t="shared" si="8"/>
        <v>6</v>
      </c>
      <c r="I495" s="264" t="s">
        <v>1156</v>
      </c>
      <c r="J495" s="262" t="s">
        <v>25</v>
      </c>
      <c r="K495" s="262" t="s">
        <v>1814</v>
      </c>
      <c r="L495" s="262" t="s">
        <v>1453</v>
      </c>
      <c r="M495" s="262"/>
      <c r="N495" s="262" t="s">
        <v>15</v>
      </c>
    </row>
    <row r="496" spans="1:14">
      <c r="A496" s="317" t="s">
        <v>1170</v>
      </c>
      <c r="B496" s="317">
        <v>1</v>
      </c>
      <c r="C496" s="317" t="s">
        <v>1337</v>
      </c>
      <c r="D496" s="317" t="s">
        <v>1338</v>
      </c>
      <c r="E496" s="317" t="s">
        <v>1843</v>
      </c>
      <c r="F496" s="317" t="s">
        <v>2719</v>
      </c>
      <c r="G496" s="320">
        <v>43717</v>
      </c>
      <c r="H496" s="321">
        <f t="shared" si="8"/>
        <v>6</v>
      </c>
      <c r="I496" s="320" t="s">
        <v>1156</v>
      </c>
      <c r="J496" s="317" t="s">
        <v>15</v>
      </c>
      <c r="K496" s="317" t="s">
        <v>2884</v>
      </c>
      <c r="L496" s="317" t="s">
        <v>27</v>
      </c>
      <c r="M496" s="317"/>
      <c r="N496" s="317" t="s">
        <v>15</v>
      </c>
    </row>
    <row r="497" spans="1:14">
      <c r="A497" s="317" t="s">
        <v>1170</v>
      </c>
      <c r="B497" s="317">
        <v>1</v>
      </c>
      <c r="C497" s="317" t="s">
        <v>1337</v>
      </c>
      <c r="D497" s="317" t="s">
        <v>1338</v>
      </c>
      <c r="E497" s="317" t="s">
        <v>1844</v>
      </c>
      <c r="F497" s="317" t="s">
        <v>2720</v>
      </c>
      <c r="G497" s="320">
        <v>43717</v>
      </c>
      <c r="H497" s="321">
        <f t="shared" si="8"/>
        <v>6</v>
      </c>
      <c r="I497" s="320" t="s">
        <v>1156</v>
      </c>
      <c r="J497" s="317" t="s">
        <v>15</v>
      </c>
      <c r="K497" s="317" t="s">
        <v>15</v>
      </c>
      <c r="L497" s="317" t="s">
        <v>27</v>
      </c>
      <c r="M497" s="317"/>
      <c r="N497" s="317" t="s">
        <v>15</v>
      </c>
    </row>
    <row r="498" spans="1:14">
      <c r="A498" s="317" t="s">
        <v>1170</v>
      </c>
      <c r="B498" s="317">
        <v>1</v>
      </c>
      <c r="C498" s="317" t="s">
        <v>1337</v>
      </c>
      <c r="D498" s="317" t="s">
        <v>1338</v>
      </c>
      <c r="E498" s="317" t="s">
        <v>1845</v>
      </c>
      <c r="F498" s="317" t="s">
        <v>2721</v>
      </c>
      <c r="G498" s="320">
        <v>44264</v>
      </c>
      <c r="H498" s="321">
        <f t="shared" si="8"/>
        <v>4</v>
      </c>
      <c r="I498" s="320" t="s">
        <v>1156</v>
      </c>
      <c r="J498" s="317" t="s">
        <v>15</v>
      </c>
      <c r="K498" s="317" t="s">
        <v>15</v>
      </c>
      <c r="L498" s="317" t="s">
        <v>27</v>
      </c>
      <c r="M498" s="317"/>
      <c r="N498" s="317" t="s">
        <v>15</v>
      </c>
    </row>
    <row r="499" spans="1:14">
      <c r="A499" s="317" t="s">
        <v>1170</v>
      </c>
      <c r="B499" s="317">
        <v>1</v>
      </c>
      <c r="C499" s="317" t="s">
        <v>1337</v>
      </c>
      <c r="D499" s="317" t="s">
        <v>1338</v>
      </c>
      <c r="E499" s="317" t="s">
        <v>1846</v>
      </c>
      <c r="F499" s="317" t="s">
        <v>2722</v>
      </c>
      <c r="G499" s="320">
        <v>43717</v>
      </c>
      <c r="H499" s="321">
        <f t="shared" si="8"/>
        <v>6</v>
      </c>
      <c r="I499" s="320" t="s">
        <v>1156</v>
      </c>
      <c r="J499" s="317" t="s">
        <v>15</v>
      </c>
      <c r="K499" s="317" t="s">
        <v>2901</v>
      </c>
      <c r="L499" s="317" t="s">
        <v>27</v>
      </c>
      <c r="M499" s="317"/>
      <c r="N499" s="317" t="s">
        <v>15</v>
      </c>
    </row>
    <row r="500" spans="1:14">
      <c r="A500" s="317" t="s">
        <v>1170</v>
      </c>
      <c r="B500" s="317">
        <v>1</v>
      </c>
      <c r="C500" s="317" t="s">
        <v>1337</v>
      </c>
      <c r="D500" s="317" t="s">
        <v>1338</v>
      </c>
      <c r="E500" s="317" t="s">
        <v>1847</v>
      </c>
      <c r="F500" s="317" t="s">
        <v>2723</v>
      </c>
      <c r="G500" s="320">
        <v>43717</v>
      </c>
      <c r="H500" s="321">
        <f t="shared" si="8"/>
        <v>6</v>
      </c>
      <c r="I500" s="320" t="s">
        <v>1156</v>
      </c>
      <c r="J500" s="317"/>
      <c r="K500" s="317" t="s">
        <v>2901</v>
      </c>
      <c r="L500" s="317" t="s">
        <v>27</v>
      </c>
      <c r="M500" s="317"/>
      <c r="N500" s="317" t="s">
        <v>15</v>
      </c>
    </row>
    <row r="501" spans="1:14">
      <c r="A501" s="317" t="s">
        <v>1170</v>
      </c>
      <c r="B501" s="317">
        <v>1</v>
      </c>
      <c r="C501" s="317" t="s">
        <v>1337</v>
      </c>
      <c r="D501" s="317" t="s">
        <v>1338</v>
      </c>
      <c r="E501" s="317" t="s">
        <v>1848</v>
      </c>
      <c r="F501" s="317" t="s">
        <v>2724</v>
      </c>
      <c r="G501" s="320">
        <v>43717</v>
      </c>
      <c r="H501" s="321">
        <f t="shared" si="8"/>
        <v>6</v>
      </c>
      <c r="I501" s="320" t="s">
        <v>1156</v>
      </c>
      <c r="J501" s="317" t="s">
        <v>15</v>
      </c>
      <c r="K501" s="317" t="s">
        <v>1814</v>
      </c>
      <c r="L501" s="317" t="s">
        <v>27</v>
      </c>
      <c r="M501" s="317"/>
      <c r="N501" s="317" t="s">
        <v>15</v>
      </c>
    </row>
    <row r="502" spans="1:14">
      <c r="A502" s="317" t="s">
        <v>1170</v>
      </c>
      <c r="B502" s="317">
        <v>1</v>
      </c>
      <c r="C502" s="317" t="s">
        <v>1337</v>
      </c>
      <c r="D502" s="317" t="s">
        <v>1338</v>
      </c>
      <c r="E502" s="317" t="s">
        <v>1849</v>
      </c>
      <c r="F502" s="317" t="s">
        <v>2725</v>
      </c>
      <c r="G502" s="320">
        <v>43717</v>
      </c>
      <c r="H502" s="321">
        <f t="shared" si="8"/>
        <v>6</v>
      </c>
      <c r="I502" s="320" t="s">
        <v>1156</v>
      </c>
      <c r="J502" s="317" t="s">
        <v>15</v>
      </c>
      <c r="K502" s="317" t="s">
        <v>2902</v>
      </c>
      <c r="L502" s="317" t="s">
        <v>27</v>
      </c>
      <c r="M502" s="317"/>
      <c r="N502" s="317" t="s">
        <v>15</v>
      </c>
    </row>
    <row r="503" spans="1:14">
      <c r="A503" s="317" t="s">
        <v>1170</v>
      </c>
      <c r="B503" s="317">
        <v>1</v>
      </c>
      <c r="C503" s="317" t="s">
        <v>1337</v>
      </c>
      <c r="D503" s="317" t="s">
        <v>1338</v>
      </c>
      <c r="E503" s="317" t="s">
        <v>1850</v>
      </c>
      <c r="F503" s="317" t="s">
        <v>2726</v>
      </c>
      <c r="G503" s="320">
        <v>43717</v>
      </c>
      <c r="H503" s="321">
        <f t="shared" si="8"/>
        <v>6</v>
      </c>
      <c r="I503" s="320" t="s">
        <v>1156</v>
      </c>
      <c r="J503" s="317" t="s">
        <v>15</v>
      </c>
      <c r="K503" s="317" t="s">
        <v>2902</v>
      </c>
      <c r="L503" s="317" t="s">
        <v>27</v>
      </c>
      <c r="M503" s="317"/>
      <c r="N503" s="317" t="s">
        <v>15</v>
      </c>
    </row>
    <row r="504" spans="1:14">
      <c r="A504" s="317" t="s">
        <v>1170</v>
      </c>
      <c r="B504" s="317">
        <v>1</v>
      </c>
      <c r="C504" s="317" t="s">
        <v>1337</v>
      </c>
      <c r="D504" s="317" t="s">
        <v>1338</v>
      </c>
      <c r="E504" s="317" t="s">
        <v>1851</v>
      </c>
      <c r="F504" s="317" t="s">
        <v>2727</v>
      </c>
      <c r="G504" s="320">
        <v>43717</v>
      </c>
      <c r="H504" s="321">
        <f t="shared" si="8"/>
        <v>6</v>
      </c>
      <c r="I504" s="320" t="s">
        <v>1156</v>
      </c>
      <c r="J504" s="317" t="s">
        <v>15</v>
      </c>
      <c r="K504" s="317" t="s">
        <v>2901</v>
      </c>
      <c r="L504" s="317" t="s">
        <v>27</v>
      </c>
      <c r="M504" s="317"/>
      <c r="N504" s="317" t="s">
        <v>15</v>
      </c>
    </row>
    <row r="505" spans="1:14">
      <c r="A505" s="317" t="s">
        <v>1170</v>
      </c>
      <c r="B505" s="317">
        <v>1</v>
      </c>
      <c r="C505" s="317" t="s">
        <v>1337</v>
      </c>
      <c r="D505" s="317" t="s">
        <v>1338</v>
      </c>
      <c r="E505" s="317" t="s">
        <v>1852</v>
      </c>
      <c r="F505" s="317" t="s">
        <v>2728</v>
      </c>
      <c r="G505" s="320">
        <v>43717</v>
      </c>
      <c r="H505" s="321">
        <f t="shared" si="8"/>
        <v>6</v>
      </c>
      <c r="I505" s="320" t="s">
        <v>1156</v>
      </c>
      <c r="J505" s="317" t="s">
        <v>15</v>
      </c>
      <c r="K505" s="317" t="s">
        <v>2901</v>
      </c>
      <c r="L505" s="317" t="s">
        <v>27</v>
      </c>
      <c r="M505" s="317"/>
      <c r="N505" s="317" t="s">
        <v>15</v>
      </c>
    </row>
    <row r="506" spans="1:14">
      <c r="A506" s="247" t="s">
        <v>232</v>
      </c>
      <c r="B506" s="243">
        <v>1</v>
      </c>
      <c r="C506" s="243" t="s">
        <v>1854</v>
      </c>
      <c r="D506" s="243" t="s">
        <v>35</v>
      </c>
      <c r="E506" s="243" t="s">
        <v>35</v>
      </c>
      <c r="F506" s="243" t="s">
        <v>15</v>
      </c>
      <c r="G506" s="312">
        <v>43717</v>
      </c>
      <c r="H506" s="313">
        <f t="shared" si="8"/>
        <v>6</v>
      </c>
      <c r="I506" s="314" t="s">
        <v>2335</v>
      </c>
      <c r="J506" s="243" t="s">
        <v>15</v>
      </c>
      <c r="K506" s="243" t="s">
        <v>15</v>
      </c>
      <c r="L506" s="243" t="s">
        <v>17</v>
      </c>
      <c r="M506" s="243"/>
      <c r="N506" s="243" t="s">
        <v>15</v>
      </c>
    </row>
    <row r="507" spans="1:14">
      <c r="A507" s="280" t="s">
        <v>863</v>
      </c>
      <c r="B507" s="280">
        <v>1</v>
      </c>
      <c r="C507" s="280" t="s">
        <v>1855</v>
      </c>
      <c r="D507" s="280" t="s">
        <v>1856</v>
      </c>
      <c r="E507" s="285" t="s">
        <v>35</v>
      </c>
      <c r="F507" s="284" t="s">
        <v>2852</v>
      </c>
      <c r="G507" s="292">
        <v>43757</v>
      </c>
      <c r="H507" s="293">
        <f t="shared" si="8"/>
        <v>6</v>
      </c>
      <c r="I507" s="281" t="s">
        <v>2335</v>
      </c>
      <c r="J507" s="280" t="s">
        <v>15</v>
      </c>
      <c r="K507" s="285" t="s">
        <v>102</v>
      </c>
      <c r="L507" s="280" t="s">
        <v>27</v>
      </c>
      <c r="M507" s="280" t="s">
        <v>27</v>
      </c>
      <c r="N507" s="280" t="s">
        <v>15</v>
      </c>
    </row>
    <row r="508" spans="1:14">
      <c r="A508" s="280" t="s">
        <v>863</v>
      </c>
      <c r="B508" s="280">
        <v>1</v>
      </c>
      <c r="C508" s="280" t="s">
        <v>1857</v>
      </c>
      <c r="D508" s="280" t="s">
        <v>1858</v>
      </c>
      <c r="E508" s="285" t="s">
        <v>35</v>
      </c>
      <c r="F508" s="284" t="s">
        <v>2853</v>
      </c>
      <c r="G508" s="292">
        <v>43880</v>
      </c>
      <c r="H508" s="293">
        <f t="shared" si="8"/>
        <v>5</v>
      </c>
      <c r="I508" s="292" t="s">
        <v>2335</v>
      </c>
      <c r="J508" s="285" t="s">
        <v>15</v>
      </c>
      <c r="K508" s="285" t="s">
        <v>1823</v>
      </c>
      <c r="L508" s="280" t="s">
        <v>27</v>
      </c>
      <c r="M508" s="280" t="s">
        <v>27</v>
      </c>
      <c r="N508" s="280" t="s">
        <v>15</v>
      </c>
    </row>
    <row r="509" spans="1:14">
      <c r="A509" s="280" t="s">
        <v>1859</v>
      </c>
      <c r="B509" s="280">
        <v>1</v>
      </c>
      <c r="C509" s="280" t="s">
        <v>1860</v>
      </c>
      <c r="D509" s="280" t="s">
        <v>1861</v>
      </c>
      <c r="E509" s="280">
        <v>147229</v>
      </c>
      <c r="F509" s="280" t="s">
        <v>2729</v>
      </c>
      <c r="G509" s="281">
        <v>44849</v>
      </c>
      <c r="H509" s="282">
        <f t="shared" si="8"/>
        <v>3</v>
      </c>
      <c r="I509" s="281" t="s">
        <v>2335</v>
      </c>
      <c r="J509" s="280" t="s">
        <v>15</v>
      </c>
      <c r="K509" s="280" t="s">
        <v>2884</v>
      </c>
      <c r="L509" s="234" t="s">
        <v>17</v>
      </c>
      <c r="M509" s="280" t="s">
        <v>27</v>
      </c>
      <c r="N509" s="280" t="s">
        <v>15</v>
      </c>
    </row>
    <row r="510" spans="1:14">
      <c r="A510" s="280" t="s">
        <v>1859</v>
      </c>
      <c r="B510" s="280">
        <v>1</v>
      </c>
      <c r="C510" s="280" t="s">
        <v>1860</v>
      </c>
      <c r="D510" s="280" t="s">
        <v>1861</v>
      </c>
      <c r="E510" s="280">
        <v>147231</v>
      </c>
      <c r="F510" s="280" t="s">
        <v>2730</v>
      </c>
      <c r="G510" s="281">
        <v>44849</v>
      </c>
      <c r="H510" s="282">
        <f t="shared" si="8"/>
        <v>3</v>
      </c>
      <c r="I510" s="281" t="s">
        <v>2335</v>
      </c>
      <c r="J510" s="280" t="s">
        <v>15</v>
      </c>
      <c r="K510" s="280" t="s">
        <v>78</v>
      </c>
      <c r="L510" s="234" t="s">
        <v>17</v>
      </c>
      <c r="M510" s="280" t="s">
        <v>27</v>
      </c>
      <c r="N510" s="280" t="s">
        <v>15</v>
      </c>
    </row>
    <row r="511" spans="1:14">
      <c r="A511" s="317" t="s">
        <v>1862</v>
      </c>
      <c r="B511" s="317">
        <v>1</v>
      </c>
      <c r="C511" s="317" t="s">
        <v>1152</v>
      </c>
      <c r="D511" s="317" t="s">
        <v>1324</v>
      </c>
      <c r="E511" s="317" t="s">
        <v>1863</v>
      </c>
      <c r="F511" s="317" t="s">
        <v>2731</v>
      </c>
      <c r="G511" s="320">
        <v>43717</v>
      </c>
      <c r="H511" s="321">
        <f t="shared" si="8"/>
        <v>6</v>
      </c>
      <c r="I511" s="320" t="s">
        <v>1156</v>
      </c>
      <c r="J511" s="317" t="s">
        <v>15</v>
      </c>
      <c r="K511" s="317" t="s">
        <v>15</v>
      </c>
      <c r="L511" s="317" t="s">
        <v>27</v>
      </c>
      <c r="M511" s="317" t="s">
        <v>27</v>
      </c>
      <c r="N511" s="317" t="s">
        <v>15</v>
      </c>
    </row>
    <row r="512" spans="1:14">
      <c r="A512" s="317" t="s">
        <v>1862</v>
      </c>
      <c r="B512" s="317">
        <v>1</v>
      </c>
      <c r="C512" s="317" t="s">
        <v>1152</v>
      </c>
      <c r="D512" s="317" t="s">
        <v>1324</v>
      </c>
      <c r="E512" s="317" t="s">
        <v>1864</v>
      </c>
      <c r="F512" s="317" t="s">
        <v>2732</v>
      </c>
      <c r="G512" s="320">
        <v>43717</v>
      </c>
      <c r="H512" s="321">
        <f t="shared" si="8"/>
        <v>6</v>
      </c>
      <c r="I512" s="320" t="s">
        <v>1156</v>
      </c>
      <c r="J512" s="317" t="s">
        <v>15</v>
      </c>
      <c r="K512" s="317" t="s">
        <v>15</v>
      </c>
      <c r="L512" s="317" t="s">
        <v>27</v>
      </c>
      <c r="M512" s="317" t="s">
        <v>27</v>
      </c>
      <c r="N512" s="317" t="s">
        <v>15</v>
      </c>
    </row>
    <row r="513" spans="1:14">
      <c r="A513" s="317" t="s">
        <v>1862</v>
      </c>
      <c r="B513" s="317">
        <v>1</v>
      </c>
      <c r="C513" s="317" t="s">
        <v>1152</v>
      </c>
      <c r="D513" s="317" t="s">
        <v>1324</v>
      </c>
      <c r="E513" s="317" t="s">
        <v>1865</v>
      </c>
      <c r="F513" s="317" t="s">
        <v>2733</v>
      </c>
      <c r="G513" s="320">
        <v>43717</v>
      </c>
      <c r="H513" s="321">
        <f t="shared" si="8"/>
        <v>6</v>
      </c>
      <c r="I513" s="320" t="s">
        <v>1156</v>
      </c>
      <c r="J513" s="317" t="s">
        <v>15</v>
      </c>
      <c r="K513" s="317" t="s">
        <v>15</v>
      </c>
      <c r="L513" s="317" t="s">
        <v>27</v>
      </c>
      <c r="M513" s="317" t="s">
        <v>27</v>
      </c>
      <c r="N513" s="317" t="s">
        <v>15</v>
      </c>
    </row>
    <row r="514" spans="1:14">
      <c r="A514" s="317" t="s">
        <v>1862</v>
      </c>
      <c r="B514" s="317">
        <v>1</v>
      </c>
      <c r="C514" s="317" t="s">
        <v>1152</v>
      </c>
      <c r="D514" s="317" t="s">
        <v>1324</v>
      </c>
      <c r="E514" s="317" t="s">
        <v>1866</v>
      </c>
      <c r="F514" s="317" t="s">
        <v>2734</v>
      </c>
      <c r="G514" s="320">
        <v>43717</v>
      </c>
      <c r="H514" s="321">
        <f t="shared" si="8"/>
        <v>6</v>
      </c>
      <c r="I514" s="320" t="s">
        <v>1156</v>
      </c>
      <c r="J514" s="317" t="s">
        <v>15</v>
      </c>
      <c r="K514" s="317" t="s">
        <v>15</v>
      </c>
      <c r="L514" s="317" t="s">
        <v>27</v>
      </c>
      <c r="M514" s="317" t="s">
        <v>27</v>
      </c>
      <c r="N514" s="317" t="s">
        <v>15</v>
      </c>
    </row>
    <row r="515" spans="1:14">
      <c r="A515" s="317" t="s">
        <v>1862</v>
      </c>
      <c r="B515" s="317">
        <v>1</v>
      </c>
      <c r="C515" s="317" t="s">
        <v>1152</v>
      </c>
      <c r="D515" s="317" t="s">
        <v>1324</v>
      </c>
      <c r="E515" s="317" t="s">
        <v>1867</v>
      </c>
      <c r="F515" s="317" t="s">
        <v>2735</v>
      </c>
      <c r="G515" s="320">
        <v>43717</v>
      </c>
      <c r="H515" s="321">
        <f t="shared" si="8"/>
        <v>6</v>
      </c>
      <c r="I515" s="320" t="s">
        <v>1156</v>
      </c>
      <c r="J515" s="317" t="s">
        <v>15</v>
      </c>
      <c r="K515" s="317" t="s">
        <v>15</v>
      </c>
      <c r="L515" s="317" t="s">
        <v>27</v>
      </c>
      <c r="M515" s="317" t="s">
        <v>27</v>
      </c>
      <c r="N515" s="317" t="s">
        <v>15</v>
      </c>
    </row>
    <row r="516" spans="1:14">
      <c r="A516" s="317" t="s">
        <v>1862</v>
      </c>
      <c r="B516" s="317">
        <v>1</v>
      </c>
      <c r="C516" s="317" t="s">
        <v>1152</v>
      </c>
      <c r="D516" s="317" t="s">
        <v>1324</v>
      </c>
      <c r="E516" s="317" t="s">
        <v>1868</v>
      </c>
      <c r="F516" s="317" t="s">
        <v>2736</v>
      </c>
      <c r="G516" s="320">
        <v>43717</v>
      </c>
      <c r="H516" s="321">
        <f t="shared" si="8"/>
        <v>6</v>
      </c>
      <c r="I516" s="320" t="s">
        <v>1156</v>
      </c>
      <c r="J516" s="317" t="s">
        <v>15</v>
      </c>
      <c r="K516" s="317" t="s">
        <v>15</v>
      </c>
      <c r="L516" s="317" t="s">
        <v>27</v>
      </c>
      <c r="M516" s="317" t="s">
        <v>27</v>
      </c>
      <c r="N516" s="317" t="s">
        <v>15</v>
      </c>
    </row>
    <row r="517" spans="1:14">
      <c r="A517" s="317" t="s">
        <v>1862</v>
      </c>
      <c r="B517" s="317">
        <v>1</v>
      </c>
      <c r="C517" s="317" t="s">
        <v>1152</v>
      </c>
      <c r="D517" s="317" t="s">
        <v>1324</v>
      </c>
      <c r="E517" s="317" t="s">
        <v>1869</v>
      </c>
      <c r="F517" s="317" t="s">
        <v>2737</v>
      </c>
      <c r="G517" s="320">
        <v>43717</v>
      </c>
      <c r="H517" s="321">
        <f t="shared" si="8"/>
        <v>6</v>
      </c>
      <c r="I517" s="320" t="s">
        <v>1156</v>
      </c>
      <c r="J517" s="317" t="s">
        <v>15</v>
      </c>
      <c r="K517" s="317" t="s">
        <v>15</v>
      </c>
      <c r="L517" s="317" t="s">
        <v>27</v>
      </c>
      <c r="M517" s="317" t="s">
        <v>27</v>
      </c>
      <c r="N517" s="317" t="s">
        <v>15</v>
      </c>
    </row>
    <row r="518" spans="1:14">
      <c r="A518" s="317" t="s">
        <v>1862</v>
      </c>
      <c r="B518" s="317">
        <v>1</v>
      </c>
      <c r="C518" s="317" t="s">
        <v>1152</v>
      </c>
      <c r="D518" s="317" t="s">
        <v>1324</v>
      </c>
      <c r="E518" s="317" t="s">
        <v>1870</v>
      </c>
      <c r="F518" s="317" t="s">
        <v>2738</v>
      </c>
      <c r="G518" s="320">
        <v>43717</v>
      </c>
      <c r="H518" s="321">
        <f t="shared" si="8"/>
        <v>6</v>
      </c>
      <c r="I518" s="320" t="s">
        <v>1156</v>
      </c>
      <c r="J518" s="317" t="s">
        <v>15</v>
      </c>
      <c r="K518" s="317" t="s">
        <v>15</v>
      </c>
      <c r="L518" s="317" t="s">
        <v>27</v>
      </c>
      <c r="M518" s="317" t="s">
        <v>27</v>
      </c>
      <c r="N518" s="317" t="s">
        <v>15</v>
      </c>
    </row>
    <row r="519" spans="1:14">
      <c r="A519" s="317" t="s">
        <v>1862</v>
      </c>
      <c r="B519" s="317">
        <v>1</v>
      </c>
      <c r="C519" s="317" t="s">
        <v>1152</v>
      </c>
      <c r="D519" s="317" t="s">
        <v>1324</v>
      </c>
      <c r="E519" s="317" t="s">
        <v>1871</v>
      </c>
      <c r="F519" s="317" t="s">
        <v>2739</v>
      </c>
      <c r="G519" s="320">
        <v>43717</v>
      </c>
      <c r="H519" s="321">
        <f t="shared" si="8"/>
        <v>6</v>
      </c>
      <c r="I519" s="320" t="s">
        <v>1156</v>
      </c>
      <c r="J519" s="317" t="s">
        <v>15</v>
      </c>
      <c r="K519" s="317" t="s">
        <v>15</v>
      </c>
      <c r="L519" s="317" t="s">
        <v>27</v>
      </c>
      <c r="M519" s="317" t="s">
        <v>27</v>
      </c>
      <c r="N519" s="317" t="s">
        <v>15</v>
      </c>
    </row>
    <row r="520" spans="1:14">
      <c r="A520" s="317" t="s">
        <v>1862</v>
      </c>
      <c r="B520" s="317">
        <v>1</v>
      </c>
      <c r="C520" s="317" t="s">
        <v>1152</v>
      </c>
      <c r="D520" s="317" t="s">
        <v>1324</v>
      </c>
      <c r="E520" s="317" t="s">
        <v>1872</v>
      </c>
      <c r="F520" s="317" t="s">
        <v>2740</v>
      </c>
      <c r="G520" s="320">
        <v>43717</v>
      </c>
      <c r="H520" s="321">
        <f t="shared" si="8"/>
        <v>6</v>
      </c>
      <c r="I520" s="320" t="s">
        <v>1156</v>
      </c>
      <c r="J520" s="317" t="s">
        <v>15</v>
      </c>
      <c r="K520" s="317" t="s">
        <v>15</v>
      </c>
      <c r="L520" s="317" t="s">
        <v>27</v>
      </c>
      <c r="M520" s="317" t="s">
        <v>27</v>
      </c>
      <c r="N520" s="317" t="s">
        <v>15</v>
      </c>
    </row>
    <row r="521" spans="1:14">
      <c r="A521" s="280" t="s">
        <v>1873</v>
      </c>
      <c r="B521" s="280">
        <v>1</v>
      </c>
      <c r="C521" s="280" t="s">
        <v>187</v>
      </c>
      <c r="D521" s="280" t="s">
        <v>1874</v>
      </c>
      <c r="E521" s="280" t="s">
        <v>1875</v>
      </c>
      <c r="F521" s="280" t="s">
        <v>2741</v>
      </c>
      <c r="G521" s="281">
        <v>43717</v>
      </c>
      <c r="H521" s="282">
        <f t="shared" si="8"/>
        <v>6</v>
      </c>
      <c r="I521" s="281" t="s">
        <v>2335</v>
      </c>
      <c r="J521" s="280" t="s">
        <v>15</v>
      </c>
      <c r="K521" s="280" t="s">
        <v>2899</v>
      </c>
      <c r="L521" s="280" t="s">
        <v>27</v>
      </c>
      <c r="M521" s="280" t="s">
        <v>27</v>
      </c>
      <c r="N521" s="280" t="s">
        <v>15</v>
      </c>
    </row>
    <row r="522" spans="1:14">
      <c r="A522" s="280" t="s">
        <v>1873</v>
      </c>
      <c r="B522" s="280">
        <v>1</v>
      </c>
      <c r="C522" s="280" t="s">
        <v>187</v>
      </c>
      <c r="D522" s="280" t="s">
        <v>1874</v>
      </c>
      <c r="E522" s="280" t="s">
        <v>1876</v>
      </c>
      <c r="F522" s="280" t="s">
        <v>2742</v>
      </c>
      <c r="G522" s="281">
        <v>43717</v>
      </c>
      <c r="H522" s="282">
        <f t="shared" si="8"/>
        <v>6</v>
      </c>
      <c r="I522" s="281" t="s">
        <v>2335</v>
      </c>
      <c r="J522" s="280" t="s">
        <v>25</v>
      </c>
      <c r="K522" s="280" t="s">
        <v>1222</v>
      </c>
      <c r="L522" s="280" t="s">
        <v>27</v>
      </c>
      <c r="M522" s="280" t="s">
        <v>27</v>
      </c>
      <c r="N522" s="280" t="s">
        <v>15</v>
      </c>
    </row>
    <row r="523" spans="1:14">
      <c r="A523" s="280" t="s">
        <v>1873</v>
      </c>
      <c r="B523" s="280">
        <v>1</v>
      </c>
      <c r="C523" s="280" t="s">
        <v>187</v>
      </c>
      <c r="D523" s="280" t="s">
        <v>1874</v>
      </c>
      <c r="E523" s="280" t="s">
        <v>1877</v>
      </c>
      <c r="F523" s="280" t="s">
        <v>2743</v>
      </c>
      <c r="G523" s="281">
        <v>43717</v>
      </c>
      <c r="H523" s="282">
        <f t="shared" si="8"/>
        <v>6</v>
      </c>
      <c r="I523" s="281" t="s">
        <v>2335</v>
      </c>
      <c r="J523" s="280" t="s">
        <v>25</v>
      </c>
      <c r="K523" s="280" t="s">
        <v>1222</v>
      </c>
      <c r="L523" s="280" t="s">
        <v>27</v>
      </c>
      <c r="M523" s="280" t="s">
        <v>27</v>
      </c>
      <c r="N523" s="280" t="s">
        <v>15</v>
      </c>
    </row>
    <row r="524" spans="1:14">
      <c r="A524" s="280" t="s">
        <v>1873</v>
      </c>
      <c r="B524" s="280">
        <v>1</v>
      </c>
      <c r="C524" s="280" t="s">
        <v>187</v>
      </c>
      <c r="D524" s="280" t="s">
        <v>1874</v>
      </c>
      <c r="E524" s="280" t="s">
        <v>1878</v>
      </c>
      <c r="F524" s="280" t="s">
        <v>2744</v>
      </c>
      <c r="G524" s="281">
        <v>43717</v>
      </c>
      <c r="H524" s="282">
        <f t="shared" si="8"/>
        <v>6</v>
      </c>
      <c r="I524" s="281" t="s">
        <v>2335</v>
      </c>
      <c r="J524" s="280" t="s">
        <v>25</v>
      </c>
      <c r="K524" s="280" t="s">
        <v>1222</v>
      </c>
      <c r="L524" s="280" t="s">
        <v>27</v>
      </c>
      <c r="M524" s="280" t="s">
        <v>27</v>
      </c>
      <c r="N524" s="280" t="s">
        <v>15</v>
      </c>
    </row>
    <row r="525" spans="1:14">
      <c r="A525" s="280" t="s">
        <v>1873</v>
      </c>
      <c r="B525" s="280">
        <v>1</v>
      </c>
      <c r="C525" s="280" t="s">
        <v>187</v>
      </c>
      <c r="D525" s="280" t="s">
        <v>1874</v>
      </c>
      <c r="E525" s="280" t="s">
        <v>1879</v>
      </c>
      <c r="F525" s="280" t="s">
        <v>2745</v>
      </c>
      <c r="G525" s="281">
        <v>43717</v>
      </c>
      <c r="H525" s="282">
        <f t="shared" si="8"/>
        <v>6</v>
      </c>
      <c r="I525" s="281" t="s">
        <v>2335</v>
      </c>
      <c r="J525" s="280" t="s">
        <v>15</v>
      </c>
      <c r="K525" s="280" t="s">
        <v>1162</v>
      </c>
      <c r="L525" s="280" t="s">
        <v>27</v>
      </c>
      <c r="M525" s="280" t="s">
        <v>27</v>
      </c>
      <c r="N525" s="280" t="s">
        <v>15</v>
      </c>
    </row>
    <row r="526" spans="1:14">
      <c r="A526" s="280" t="s">
        <v>1873</v>
      </c>
      <c r="B526" s="280">
        <v>1</v>
      </c>
      <c r="C526" s="280" t="s">
        <v>187</v>
      </c>
      <c r="D526" s="280" t="s">
        <v>1874</v>
      </c>
      <c r="E526" s="280" t="s">
        <v>1880</v>
      </c>
      <c r="F526" s="280" t="s">
        <v>2746</v>
      </c>
      <c r="G526" s="281">
        <v>43717</v>
      </c>
      <c r="H526" s="282">
        <f t="shared" si="8"/>
        <v>6</v>
      </c>
      <c r="I526" s="281" t="s">
        <v>2335</v>
      </c>
      <c r="J526" s="280" t="s">
        <v>15</v>
      </c>
      <c r="K526" s="280" t="s">
        <v>2884</v>
      </c>
      <c r="L526" s="280" t="s">
        <v>27</v>
      </c>
      <c r="M526" s="280" t="s">
        <v>27</v>
      </c>
      <c r="N526" s="280" t="s">
        <v>15</v>
      </c>
    </row>
    <row r="527" spans="1:14">
      <c r="A527" s="280" t="s">
        <v>1873</v>
      </c>
      <c r="B527" s="280">
        <v>1</v>
      </c>
      <c r="C527" s="280" t="s">
        <v>187</v>
      </c>
      <c r="D527" s="280" t="s">
        <v>1874</v>
      </c>
      <c r="E527" s="280" t="s">
        <v>1881</v>
      </c>
      <c r="F527" s="280" t="s">
        <v>2747</v>
      </c>
      <c r="G527" s="281">
        <v>43717</v>
      </c>
      <c r="H527" s="282">
        <f t="shared" si="8"/>
        <v>6</v>
      </c>
      <c r="I527" s="281" t="s">
        <v>2335</v>
      </c>
      <c r="J527" s="280" t="s">
        <v>15</v>
      </c>
      <c r="K527" s="280" t="s">
        <v>15</v>
      </c>
      <c r="L527" s="280" t="s">
        <v>27</v>
      </c>
      <c r="M527" s="280" t="s">
        <v>27</v>
      </c>
      <c r="N527" s="280" t="s">
        <v>15</v>
      </c>
    </row>
    <row r="528" spans="1:14">
      <c r="A528" s="280" t="s">
        <v>1873</v>
      </c>
      <c r="B528" s="280">
        <v>1</v>
      </c>
      <c r="C528" s="280" t="s">
        <v>187</v>
      </c>
      <c r="D528" s="280" t="s">
        <v>1874</v>
      </c>
      <c r="E528" s="280" t="s">
        <v>1882</v>
      </c>
      <c r="F528" s="280" t="s">
        <v>2748</v>
      </c>
      <c r="G528" s="281">
        <v>43717</v>
      </c>
      <c r="H528" s="282">
        <f t="shared" si="8"/>
        <v>6</v>
      </c>
      <c r="I528" s="281" t="s">
        <v>2335</v>
      </c>
      <c r="J528" s="280" t="s">
        <v>25</v>
      </c>
      <c r="K528" s="280" t="s">
        <v>1222</v>
      </c>
      <c r="L528" s="280" t="s">
        <v>27</v>
      </c>
      <c r="M528" s="280" t="s">
        <v>27</v>
      </c>
      <c r="N528" s="280" t="s">
        <v>15</v>
      </c>
    </row>
    <row r="529" spans="1:14">
      <c r="A529" s="262" t="s">
        <v>1883</v>
      </c>
      <c r="B529" s="262">
        <v>1</v>
      </c>
      <c r="C529" s="262" t="s">
        <v>187</v>
      </c>
      <c r="D529" s="262" t="s">
        <v>1884</v>
      </c>
      <c r="E529" s="262" t="s">
        <v>1885</v>
      </c>
      <c r="F529" s="262" t="s">
        <v>2749</v>
      </c>
      <c r="G529" s="264">
        <v>43717</v>
      </c>
      <c r="H529" s="271">
        <f t="shared" si="8"/>
        <v>6</v>
      </c>
      <c r="I529" s="264" t="s">
        <v>2335</v>
      </c>
      <c r="J529" s="262" t="s">
        <v>15</v>
      </c>
      <c r="K529" s="262" t="s">
        <v>1620</v>
      </c>
      <c r="L529" s="262" t="s">
        <v>27</v>
      </c>
      <c r="M529" s="262" t="s">
        <v>27</v>
      </c>
      <c r="N529" s="262" t="s">
        <v>2985</v>
      </c>
    </row>
    <row r="530" spans="1:14">
      <c r="A530" s="262" t="s">
        <v>1883</v>
      </c>
      <c r="B530" s="262">
        <v>1</v>
      </c>
      <c r="C530" s="262" t="s">
        <v>187</v>
      </c>
      <c r="D530" s="262" t="s">
        <v>1884</v>
      </c>
      <c r="E530" s="262" t="s">
        <v>1886</v>
      </c>
      <c r="F530" s="262" t="s">
        <v>2750</v>
      </c>
      <c r="G530" s="264">
        <v>43717</v>
      </c>
      <c r="H530" s="271">
        <f t="shared" si="8"/>
        <v>6</v>
      </c>
      <c r="I530" s="264" t="s">
        <v>2335</v>
      </c>
      <c r="J530" s="262" t="s">
        <v>15</v>
      </c>
      <c r="K530" s="262" t="s">
        <v>1620</v>
      </c>
      <c r="L530" s="262" t="s">
        <v>27</v>
      </c>
      <c r="M530" s="262" t="s">
        <v>27</v>
      </c>
      <c r="N530" s="262" t="s">
        <v>2985</v>
      </c>
    </row>
    <row r="531" spans="1:14">
      <c r="A531" s="280" t="s">
        <v>1883</v>
      </c>
      <c r="B531" s="280">
        <v>1</v>
      </c>
      <c r="C531" s="280" t="s">
        <v>187</v>
      </c>
      <c r="D531" s="280" t="s">
        <v>1884</v>
      </c>
      <c r="E531" s="280" t="s">
        <v>1887</v>
      </c>
      <c r="F531" s="280" t="s">
        <v>2751</v>
      </c>
      <c r="G531" s="281">
        <v>43717</v>
      </c>
      <c r="H531" s="282">
        <f t="shared" si="8"/>
        <v>6</v>
      </c>
      <c r="I531" s="281" t="s">
        <v>2335</v>
      </c>
      <c r="J531" s="280" t="s">
        <v>15</v>
      </c>
      <c r="K531" s="280" t="s">
        <v>2884</v>
      </c>
      <c r="L531" s="280" t="s">
        <v>27</v>
      </c>
      <c r="M531" s="280" t="s">
        <v>27</v>
      </c>
      <c r="N531" s="280" t="s">
        <v>15</v>
      </c>
    </row>
    <row r="532" spans="1:14">
      <c r="A532" s="280" t="s">
        <v>1883</v>
      </c>
      <c r="B532" s="280">
        <v>1</v>
      </c>
      <c r="C532" s="280" t="s">
        <v>187</v>
      </c>
      <c r="D532" s="280" t="s">
        <v>1884</v>
      </c>
      <c r="E532" s="280" t="s">
        <v>1888</v>
      </c>
      <c r="F532" s="280" t="s">
        <v>2752</v>
      </c>
      <c r="G532" s="281">
        <v>43717</v>
      </c>
      <c r="H532" s="282">
        <f t="shared" si="8"/>
        <v>6</v>
      </c>
      <c r="I532" s="281" t="s">
        <v>2335</v>
      </c>
      <c r="J532" s="280" t="s">
        <v>15</v>
      </c>
      <c r="K532" s="280" t="s">
        <v>2921</v>
      </c>
      <c r="L532" s="280" t="s">
        <v>27</v>
      </c>
      <c r="M532" s="280" t="s">
        <v>27</v>
      </c>
      <c r="N532" s="280" t="s">
        <v>15</v>
      </c>
    </row>
    <row r="533" spans="1:14">
      <c r="A533" s="262" t="s">
        <v>1883</v>
      </c>
      <c r="B533" s="262">
        <v>1</v>
      </c>
      <c r="C533" s="262" t="s">
        <v>187</v>
      </c>
      <c r="D533" s="262" t="s">
        <v>1884</v>
      </c>
      <c r="E533" s="262" t="s">
        <v>1889</v>
      </c>
      <c r="F533" s="262" t="s">
        <v>2753</v>
      </c>
      <c r="G533" s="264">
        <v>44022</v>
      </c>
      <c r="H533" s="271">
        <f t="shared" si="8"/>
        <v>5</v>
      </c>
      <c r="I533" s="264" t="s">
        <v>2335</v>
      </c>
      <c r="J533" s="262" t="s">
        <v>15</v>
      </c>
      <c r="K533" s="262" t="s">
        <v>1620</v>
      </c>
      <c r="L533" s="262" t="s">
        <v>27</v>
      </c>
      <c r="M533" s="262" t="s">
        <v>27</v>
      </c>
      <c r="N533" s="262" t="s">
        <v>2985</v>
      </c>
    </row>
    <row r="534" spans="1:14">
      <c r="A534" s="262" t="s">
        <v>1883</v>
      </c>
      <c r="B534" s="262">
        <v>1</v>
      </c>
      <c r="C534" s="262" t="s">
        <v>187</v>
      </c>
      <c r="D534" s="262" t="s">
        <v>1884</v>
      </c>
      <c r="E534" s="262" t="s">
        <v>1890</v>
      </c>
      <c r="F534" s="262" t="s">
        <v>2754</v>
      </c>
      <c r="G534" s="264">
        <v>44022</v>
      </c>
      <c r="H534" s="271">
        <f t="shared" si="8"/>
        <v>5</v>
      </c>
      <c r="I534" s="264" t="s">
        <v>2335</v>
      </c>
      <c r="J534" s="262" t="s">
        <v>15</v>
      </c>
      <c r="K534" s="262" t="s">
        <v>1620</v>
      </c>
      <c r="L534" s="262" t="s">
        <v>27</v>
      </c>
      <c r="M534" s="262" t="s">
        <v>27</v>
      </c>
      <c r="N534" s="262" t="s">
        <v>2985</v>
      </c>
    </row>
    <row r="535" spans="1:14">
      <c r="A535" s="247" t="s">
        <v>1891</v>
      </c>
      <c r="B535" s="243">
        <v>2</v>
      </c>
      <c r="C535" s="243" t="s">
        <v>1892</v>
      </c>
      <c r="D535" s="243" t="s">
        <v>35</v>
      </c>
      <c r="E535" s="243" t="s">
        <v>15</v>
      </c>
      <c r="F535" s="234" t="s">
        <v>15</v>
      </c>
      <c r="G535" s="244">
        <v>44793</v>
      </c>
      <c r="H535" s="274">
        <f t="shared" si="8"/>
        <v>3</v>
      </c>
      <c r="I535" s="244" t="s">
        <v>2335</v>
      </c>
      <c r="J535" s="245" t="s">
        <v>15</v>
      </c>
      <c r="K535" s="245" t="s">
        <v>15</v>
      </c>
      <c r="L535" s="234" t="s">
        <v>17</v>
      </c>
      <c r="M535" s="234"/>
      <c r="N535" s="234" t="s">
        <v>15</v>
      </c>
    </row>
    <row r="536" spans="1:14">
      <c r="A536" s="322" t="s">
        <v>1893</v>
      </c>
      <c r="B536" s="317">
        <v>1</v>
      </c>
      <c r="C536" s="317" t="s">
        <v>1894</v>
      </c>
      <c r="D536" s="317">
        <v>380</v>
      </c>
      <c r="E536" s="317">
        <v>54660</v>
      </c>
      <c r="F536" s="317" t="s">
        <v>2755</v>
      </c>
      <c r="G536" s="320">
        <v>43717</v>
      </c>
      <c r="H536" s="321">
        <f t="shared" si="8"/>
        <v>6</v>
      </c>
      <c r="I536" s="320" t="s">
        <v>1156</v>
      </c>
      <c r="J536" s="323" t="s">
        <v>38</v>
      </c>
      <c r="K536" s="323"/>
      <c r="L536" s="316" t="s">
        <v>17</v>
      </c>
      <c r="M536" s="316"/>
      <c r="N536" s="316" t="s">
        <v>15</v>
      </c>
    </row>
    <row r="537" spans="1:14">
      <c r="A537" s="247" t="s">
        <v>1895</v>
      </c>
      <c r="B537" s="243">
        <v>1</v>
      </c>
      <c r="C537" s="243" t="s">
        <v>1288</v>
      </c>
      <c r="D537" s="243" t="s">
        <v>1896</v>
      </c>
      <c r="E537" s="243" t="s">
        <v>35</v>
      </c>
      <c r="F537" s="278" t="s">
        <v>2854</v>
      </c>
      <c r="G537" s="244" t="s">
        <v>15</v>
      </c>
      <c r="H537" s="274" t="e">
        <f t="shared" si="8"/>
        <v>#VALUE!</v>
      </c>
      <c r="I537" s="244" t="s">
        <v>2335</v>
      </c>
      <c r="J537" s="245" t="s">
        <v>15</v>
      </c>
      <c r="K537" s="234" t="s">
        <v>1222</v>
      </c>
      <c r="L537" s="234" t="s">
        <v>17</v>
      </c>
      <c r="M537" s="234"/>
      <c r="N537" s="234" t="s">
        <v>15</v>
      </c>
    </row>
    <row r="538" spans="1:14">
      <c r="A538" s="280" t="s">
        <v>1328</v>
      </c>
      <c r="B538" s="280">
        <v>1</v>
      </c>
      <c r="C538" s="280" t="s">
        <v>334</v>
      </c>
      <c r="D538" s="280" t="s">
        <v>1897</v>
      </c>
      <c r="E538" s="280">
        <v>15798</v>
      </c>
      <c r="F538" s="283" t="s">
        <v>2756</v>
      </c>
      <c r="G538" s="281">
        <v>43717</v>
      </c>
      <c r="H538" s="282">
        <f t="shared" si="8"/>
        <v>6</v>
      </c>
      <c r="I538" s="281" t="s">
        <v>2335</v>
      </c>
      <c r="J538" s="280" t="s">
        <v>25</v>
      </c>
      <c r="K538" s="280" t="s">
        <v>2884</v>
      </c>
      <c r="L538" s="234" t="s">
        <v>17</v>
      </c>
      <c r="M538" s="280" t="s">
        <v>27</v>
      </c>
      <c r="N538" s="280" t="s">
        <v>15</v>
      </c>
    </row>
    <row r="539" spans="1:14">
      <c r="A539" s="280" t="s">
        <v>1328</v>
      </c>
      <c r="B539" s="280">
        <v>1</v>
      </c>
      <c r="C539" s="280" t="s">
        <v>334</v>
      </c>
      <c r="D539" s="280" t="s">
        <v>1897</v>
      </c>
      <c r="E539" s="280">
        <v>15799</v>
      </c>
      <c r="F539" s="283" t="s">
        <v>2757</v>
      </c>
      <c r="G539" s="281">
        <v>43717</v>
      </c>
      <c r="H539" s="282">
        <f t="shared" si="8"/>
        <v>6</v>
      </c>
      <c r="I539" s="281" t="s">
        <v>2335</v>
      </c>
      <c r="J539" s="280" t="s">
        <v>25</v>
      </c>
      <c r="K539" s="280" t="s">
        <v>1491</v>
      </c>
      <c r="L539" s="234" t="s">
        <v>17</v>
      </c>
      <c r="M539" s="280" t="s">
        <v>27</v>
      </c>
      <c r="N539" s="280" t="s">
        <v>15</v>
      </c>
    </row>
    <row r="540" spans="1:14">
      <c r="A540" s="280" t="s">
        <v>1328</v>
      </c>
      <c r="B540" s="280">
        <v>1</v>
      </c>
      <c r="C540" s="280" t="s">
        <v>334</v>
      </c>
      <c r="D540" s="280" t="s">
        <v>1897</v>
      </c>
      <c r="E540" s="280">
        <v>15802</v>
      </c>
      <c r="F540" s="283" t="s">
        <v>2758</v>
      </c>
      <c r="G540" s="281">
        <v>43717</v>
      </c>
      <c r="H540" s="282">
        <f t="shared" si="8"/>
        <v>6</v>
      </c>
      <c r="I540" s="281" t="s">
        <v>2335</v>
      </c>
      <c r="J540" s="280" t="s">
        <v>25</v>
      </c>
      <c r="K540" s="280" t="s">
        <v>1491</v>
      </c>
      <c r="L540" s="234" t="s">
        <v>17</v>
      </c>
      <c r="M540" s="280" t="s">
        <v>27</v>
      </c>
      <c r="N540" s="280" t="s">
        <v>15</v>
      </c>
    </row>
    <row r="541" spans="1:14">
      <c r="A541" s="280" t="s">
        <v>1328</v>
      </c>
      <c r="B541" s="280">
        <v>1</v>
      </c>
      <c r="C541" s="280" t="s">
        <v>334</v>
      </c>
      <c r="D541" s="280" t="s">
        <v>1897</v>
      </c>
      <c r="E541" s="280">
        <v>15797</v>
      </c>
      <c r="F541" s="283" t="s">
        <v>2759</v>
      </c>
      <c r="G541" s="281">
        <v>43717</v>
      </c>
      <c r="H541" s="282">
        <f t="shared" ref="H541:H594" si="9">ABS(YEAR(G541)-2025)</f>
        <v>6</v>
      </c>
      <c r="I541" s="281" t="s">
        <v>2335</v>
      </c>
      <c r="J541" s="280" t="s">
        <v>25</v>
      </c>
      <c r="K541" s="280" t="s">
        <v>1491</v>
      </c>
      <c r="L541" s="234" t="s">
        <v>17</v>
      </c>
      <c r="M541" s="280" t="s">
        <v>27</v>
      </c>
      <c r="N541" s="280" t="s">
        <v>15</v>
      </c>
    </row>
    <row r="542" spans="1:14">
      <c r="A542" s="280" t="s">
        <v>1328</v>
      </c>
      <c r="B542" s="280">
        <v>1</v>
      </c>
      <c r="C542" s="280" t="s">
        <v>334</v>
      </c>
      <c r="D542" s="280" t="s">
        <v>1897</v>
      </c>
      <c r="E542" s="280">
        <v>15794</v>
      </c>
      <c r="F542" s="283" t="s">
        <v>2760</v>
      </c>
      <c r="G542" s="281">
        <v>43717</v>
      </c>
      <c r="H542" s="282">
        <f t="shared" si="9"/>
        <v>6</v>
      </c>
      <c r="I542" s="281" t="s">
        <v>2335</v>
      </c>
      <c r="J542" s="280" t="s">
        <v>25</v>
      </c>
      <c r="K542" s="280" t="s">
        <v>1491</v>
      </c>
      <c r="L542" s="234" t="s">
        <v>17</v>
      </c>
      <c r="M542" s="280" t="s">
        <v>27</v>
      </c>
      <c r="N542" s="280" t="s">
        <v>15</v>
      </c>
    </row>
    <row r="543" spans="1:14">
      <c r="A543" s="280" t="s">
        <v>1328</v>
      </c>
      <c r="B543" s="280">
        <v>1</v>
      </c>
      <c r="C543" s="280" t="s">
        <v>334</v>
      </c>
      <c r="D543" s="280" t="s">
        <v>1897</v>
      </c>
      <c r="E543" s="280">
        <v>15795</v>
      </c>
      <c r="F543" s="283" t="s">
        <v>2761</v>
      </c>
      <c r="G543" s="281">
        <v>43717</v>
      </c>
      <c r="H543" s="282">
        <f t="shared" si="9"/>
        <v>6</v>
      </c>
      <c r="I543" s="281" t="s">
        <v>2335</v>
      </c>
      <c r="J543" s="280" t="s">
        <v>25</v>
      </c>
      <c r="K543" s="280" t="s">
        <v>1491</v>
      </c>
      <c r="L543" s="234" t="s">
        <v>17</v>
      </c>
      <c r="M543" s="280" t="s">
        <v>27</v>
      </c>
      <c r="N543" s="280" t="s">
        <v>15</v>
      </c>
    </row>
    <row r="544" spans="1:14">
      <c r="A544" s="280" t="s">
        <v>1328</v>
      </c>
      <c r="B544" s="280">
        <v>1</v>
      </c>
      <c r="C544" s="280" t="s">
        <v>334</v>
      </c>
      <c r="D544" s="280" t="s">
        <v>1897</v>
      </c>
      <c r="E544" s="280">
        <v>15800</v>
      </c>
      <c r="F544" s="283" t="s">
        <v>2762</v>
      </c>
      <c r="G544" s="281">
        <v>43717</v>
      </c>
      <c r="H544" s="282">
        <f t="shared" si="9"/>
        <v>6</v>
      </c>
      <c r="I544" s="281" t="s">
        <v>2335</v>
      </c>
      <c r="J544" s="280" t="s">
        <v>25</v>
      </c>
      <c r="K544" s="280" t="s">
        <v>1491</v>
      </c>
      <c r="L544" s="234" t="s">
        <v>17</v>
      </c>
      <c r="M544" s="280" t="s">
        <v>27</v>
      </c>
      <c r="N544" s="280" t="s">
        <v>15</v>
      </c>
    </row>
    <row r="545" spans="1:14">
      <c r="A545" s="280" t="s">
        <v>1328</v>
      </c>
      <c r="B545" s="280">
        <v>1</v>
      </c>
      <c r="C545" s="280" t="s">
        <v>334</v>
      </c>
      <c r="D545" s="280" t="s">
        <v>1897</v>
      </c>
      <c r="E545" s="280">
        <v>15801</v>
      </c>
      <c r="F545" s="283" t="s">
        <v>2763</v>
      </c>
      <c r="G545" s="281">
        <v>43717</v>
      </c>
      <c r="H545" s="282">
        <f t="shared" si="9"/>
        <v>6</v>
      </c>
      <c r="I545" s="281" t="s">
        <v>2335</v>
      </c>
      <c r="J545" s="280" t="s">
        <v>25</v>
      </c>
      <c r="K545" s="280" t="s">
        <v>2934</v>
      </c>
      <c r="L545" s="234" t="s">
        <v>17</v>
      </c>
      <c r="M545" s="280" t="s">
        <v>27</v>
      </c>
      <c r="N545" s="280" t="s">
        <v>15</v>
      </c>
    </row>
    <row r="546" spans="1:14">
      <c r="A546" s="280" t="s">
        <v>1328</v>
      </c>
      <c r="B546" s="280">
        <v>1</v>
      </c>
      <c r="C546" s="280" t="s">
        <v>334</v>
      </c>
      <c r="D546" s="280" t="s">
        <v>1897</v>
      </c>
      <c r="E546" s="280">
        <v>15796</v>
      </c>
      <c r="F546" s="283" t="s">
        <v>2764</v>
      </c>
      <c r="G546" s="281">
        <v>43717</v>
      </c>
      <c r="H546" s="282">
        <f t="shared" si="9"/>
        <v>6</v>
      </c>
      <c r="I546" s="281" t="s">
        <v>2335</v>
      </c>
      <c r="J546" s="280" t="s">
        <v>25</v>
      </c>
      <c r="K546" s="280" t="s">
        <v>1491</v>
      </c>
      <c r="L546" s="234" t="s">
        <v>17</v>
      </c>
      <c r="M546" s="280" t="s">
        <v>27</v>
      </c>
      <c r="N546" s="280" t="s">
        <v>15</v>
      </c>
    </row>
    <row r="547" spans="1:14">
      <c r="A547" s="280" t="s">
        <v>1328</v>
      </c>
      <c r="B547" s="280">
        <v>1</v>
      </c>
      <c r="C547" s="280" t="s">
        <v>334</v>
      </c>
      <c r="D547" s="280" t="s">
        <v>1897</v>
      </c>
      <c r="E547" s="280">
        <v>15793</v>
      </c>
      <c r="F547" s="283" t="s">
        <v>2765</v>
      </c>
      <c r="G547" s="281">
        <v>43717</v>
      </c>
      <c r="H547" s="282">
        <f t="shared" si="9"/>
        <v>6</v>
      </c>
      <c r="I547" s="281" t="s">
        <v>2335</v>
      </c>
      <c r="J547" s="280" t="s">
        <v>25</v>
      </c>
      <c r="K547" s="280" t="s">
        <v>1898</v>
      </c>
      <c r="L547" s="234" t="s">
        <v>17</v>
      </c>
      <c r="M547" s="280" t="s">
        <v>27</v>
      </c>
      <c r="N547" s="280" t="s">
        <v>15</v>
      </c>
    </row>
    <row r="548" spans="1:14">
      <c r="A548" s="317" t="s">
        <v>246</v>
      </c>
      <c r="B548" s="317">
        <v>1</v>
      </c>
      <c r="C548" s="317" t="s">
        <v>1152</v>
      </c>
      <c r="D548" s="317" t="s">
        <v>1899</v>
      </c>
      <c r="E548" s="317">
        <v>1901353</v>
      </c>
      <c r="F548" s="317" t="s">
        <v>2766</v>
      </c>
      <c r="G548" s="320">
        <v>43717</v>
      </c>
      <c r="H548" s="321">
        <f t="shared" si="9"/>
        <v>6</v>
      </c>
      <c r="I548" s="320" t="s">
        <v>1156</v>
      </c>
      <c r="J548" s="317" t="s">
        <v>15</v>
      </c>
      <c r="K548" s="317" t="s">
        <v>15</v>
      </c>
      <c r="L548" s="317" t="s">
        <v>27</v>
      </c>
      <c r="M548" s="317"/>
      <c r="N548" s="317" t="s">
        <v>15</v>
      </c>
    </row>
    <row r="549" spans="1:14">
      <c r="A549" s="317" t="s">
        <v>246</v>
      </c>
      <c r="B549" s="317">
        <v>1</v>
      </c>
      <c r="C549" s="317" t="s">
        <v>1152</v>
      </c>
      <c r="D549" s="317" t="s">
        <v>1899</v>
      </c>
      <c r="E549" s="317">
        <v>1901357</v>
      </c>
      <c r="F549" s="317" t="s">
        <v>2767</v>
      </c>
      <c r="G549" s="320">
        <v>43717</v>
      </c>
      <c r="H549" s="321">
        <f t="shared" si="9"/>
        <v>6</v>
      </c>
      <c r="I549" s="320" t="s">
        <v>1156</v>
      </c>
      <c r="J549" s="317" t="s">
        <v>15</v>
      </c>
      <c r="K549" s="317" t="s">
        <v>15</v>
      </c>
      <c r="L549" s="317" t="s">
        <v>27</v>
      </c>
      <c r="M549" s="317"/>
      <c r="N549" s="317" t="s">
        <v>15</v>
      </c>
    </row>
    <row r="550" spans="1:14">
      <c r="A550" s="317" t="s">
        <v>246</v>
      </c>
      <c r="B550" s="317">
        <v>1</v>
      </c>
      <c r="C550" s="317" t="s">
        <v>1152</v>
      </c>
      <c r="D550" s="317" t="s">
        <v>1899</v>
      </c>
      <c r="E550" s="317">
        <v>1901355</v>
      </c>
      <c r="F550" s="317" t="s">
        <v>2768</v>
      </c>
      <c r="G550" s="320">
        <v>43717</v>
      </c>
      <c r="H550" s="321">
        <f t="shared" si="9"/>
        <v>6</v>
      </c>
      <c r="I550" s="320" t="s">
        <v>1156</v>
      </c>
      <c r="J550" s="317" t="s">
        <v>15</v>
      </c>
      <c r="K550" s="317" t="s">
        <v>15</v>
      </c>
      <c r="L550" s="317" t="s">
        <v>27</v>
      </c>
      <c r="M550" s="317"/>
      <c r="N550" s="317" t="s">
        <v>15</v>
      </c>
    </row>
    <row r="551" spans="1:14">
      <c r="A551" s="317" t="s">
        <v>246</v>
      </c>
      <c r="B551" s="317">
        <v>1</v>
      </c>
      <c r="C551" s="317" t="s">
        <v>1152</v>
      </c>
      <c r="D551" s="317" t="s">
        <v>1899</v>
      </c>
      <c r="E551" s="317">
        <v>1901360</v>
      </c>
      <c r="F551" s="317" t="s">
        <v>2769</v>
      </c>
      <c r="G551" s="320">
        <v>43717</v>
      </c>
      <c r="H551" s="321">
        <f t="shared" si="9"/>
        <v>6</v>
      </c>
      <c r="I551" s="320" t="s">
        <v>1156</v>
      </c>
      <c r="J551" s="317" t="s">
        <v>15</v>
      </c>
      <c r="K551" s="317" t="s">
        <v>15</v>
      </c>
      <c r="L551" s="317" t="s">
        <v>27</v>
      </c>
      <c r="M551" s="317"/>
      <c r="N551" s="317" t="s">
        <v>15</v>
      </c>
    </row>
    <row r="552" spans="1:14">
      <c r="A552" s="317" t="s">
        <v>246</v>
      </c>
      <c r="B552" s="317">
        <v>1</v>
      </c>
      <c r="C552" s="317" t="s">
        <v>1152</v>
      </c>
      <c r="D552" s="317" t="s">
        <v>1899</v>
      </c>
      <c r="E552" s="317">
        <v>1901354</v>
      </c>
      <c r="F552" s="317" t="s">
        <v>2770</v>
      </c>
      <c r="G552" s="320">
        <v>43717</v>
      </c>
      <c r="H552" s="321">
        <f t="shared" si="9"/>
        <v>6</v>
      </c>
      <c r="I552" s="320" t="s">
        <v>1156</v>
      </c>
      <c r="J552" s="317" t="s">
        <v>15</v>
      </c>
      <c r="K552" s="317" t="s">
        <v>15</v>
      </c>
      <c r="L552" s="317" t="s">
        <v>27</v>
      </c>
      <c r="M552" s="317"/>
      <c r="N552" s="317" t="s">
        <v>15</v>
      </c>
    </row>
    <row r="553" spans="1:14">
      <c r="A553" s="317" t="s">
        <v>246</v>
      </c>
      <c r="B553" s="317">
        <v>1</v>
      </c>
      <c r="C553" s="317" t="s">
        <v>1152</v>
      </c>
      <c r="D553" s="317" t="s">
        <v>1899</v>
      </c>
      <c r="E553" s="317">
        <v>1901359</v>
      </c>
      <c r="F553" s="317" t="s">
        <v>2771</v>
      </c>
      <c r="G553" s="320">
        <v>43717</v>
      </c>
      <c r="H553" s="321">
        <f t="shared" si="9"/>
        <v>6</v>
      </c>
      <c r="I553" s="320" t="s">
        <v>1156</v>
      </c>
      <c r="J553" s="317" t="s">
        <v>15</v>
      </c>
      <c r="K553" s="317" t="s">
        <v>15</v>
      </c>
      <c r="L553" s="317" t="s">
        <v>27</v>
      </c>
      <c r="M553" s="317"/>
      <c r="N553" s="317" t="s">
        <v>15</v>
      </c>
    </row>
    <row r="554" spans="1:14">
      <c r="A554" s="317" t="s">
        <v>246</v>
      </c>
      <c r="B554" s="317">
        <v>1</v>
      </c>
      <c r="C554" s="317" t="s">
        <v>1152</v>
      </c>
      <c r="D554" s="317" t="s">
        <v>1899</v>
      </c>
      <c r="E554" s="317">
        <v>1901352</v>
      </c>
      <c r="F554" s="317" t="s">
        <v>2772</v>
      </c>
      <c r="G554" s="320">
        <v>43717</v>
      </c>
      <c r="H554" s="321">
        <f t="shared" si="9"/>
        <v>6</v>
      </c>
      <c r="I554" s="320" t="s">
        <v>1156</v>
      </c>
      <c r="J554" s="317" t="s">
        <v>15</v>
      </c>
      <c r="K554" s="317" t="s">
        <v>15</v>
      </c>
      <c r="L554" s="317" t="s">
        <v>27</v>
      </c>
      <c r="M554" s="317"/>
      <c r="N554" s="317" t="s">
        <v>15</v>
      </c>
    </row>
    <row r="555" spans="1:14">
      <c r="A555" s="317" t="s">
        <v>246</v>
      </c>
      <c r="B555" s="317">
        <v>1</v>
      </c>
      <c r="C555" s="317" t="s">
        <v>1152</v>
      </c>
      <c r="D555" s="317" t="s">
        <v>1899</v>
      </c>
      <c r="E555" s="317">
        <v>1901356</v>
      </c>
      <c r="F555" s="317" t="s">
        <v>2773</v>
      </c>
      <c r="G555" s="320">
        <v>43717</v>
      </c>
      <c r="H555" s="321">
        <f t="shared" si="9"/>
        <v>6</v>
      </c>
      <c r="I555" s="320" t="s">
        <v>1156</v>
      </c>
      <c r="J555" s="317" t="s">
        <v>15</v>
      </c>
      <c r="K555" s="317" t="s">
        <v>15</v>
      </c>
      <c r="L555" s="317" t="s">
        <v>27</v>
      </c>
      <c r="M555" s="317"/>
      <c r="N555" s="317" t="s">
        <v>15</v>
      </c>
    </row>
    <row r="556" spans="1:14">
      <c r="A556" s="317" t="s">
        <v>246</v>
      </c>
      <c r="B556" s="317">
        <v>1</v>
      </c>
      <c r="C556" s="317" t="s">
        <v>1152</v>
      </c>
      <c r="D556" s="317" t="s">
        <v>1899</v>
      </c>
      <c r="E556" s="317">
        <v>1902358</v>
      </c>
      <c r="F556" s="317" t="s">
        <v>2774</v>
      </c>
      <c r="G556" s="320">
        <v>43717</v>
      </c>
      <c r="H556" s="321">
        <f t="shared" si="9"/>
        <v>6</v>
      </c>
      <c r="I556" s="320" t="s">
        <v>1156</v>
      </c>
      <c r="J556" s="317" t="s">
        <v>15</v>
      </c>
      <c r="K556" s="317" t="s">
        <v>15</v>
      </c>
      <c r="L556" s="317" t="s">
        <v>27</v>
      </c>
      <c r="M556" s="317"/>
      <c r="N556" s="317" t="s">
        <v>15</v>
      </c>
    </row>
    <row r="557" spans="1:14">
      <c r="A557" s="317" t="s">
        <v>246</v>
      </c>
      <c r="B557" s="317">
        <v>1</v>
      </c>
      <c r="C557" s="317" t="s">
        <v>1152</v>
      </c>
      <c r="D557" s="317" t="s">
        <v>1899</v>
      </c>
      <c r="E557" s="317">
        <v>1901351</v>
      </c>
      <c r="F557" s="317" t="s">
        <v>2775</v>
      </c>
      <c r="G557" s="320">
        <v>43717</v>
      </c>
      <c r="H557" s="321">
        <f t="shared" si="9"/>
        <v>6</v>
      </c>
      <c r="I557" s="320" t="s">
        <v>1156</v>
      </c>
      <c r="J557" s="317" t="s">
        <v>15</v>
      </c>
      <c r="K557" s="317" t="s">
        <v>15</v>
      </c>
      <c r="L557" s="317" t="s">
        <v>27</v>
      </c>
      <c r="M557" s="317"/>
      <c r="N557" s="317" t="s">
        <v>15</v>
      </c>
    </row>
    <row r="558" spans="1:14">
      <c r="A558" s="233" t="s">
        <v>1900</v>
      </c>
      <c r="B558" s="234">
        <v>1</v>
      </c>
      <c r="C558" s="234" t="s">
        <v>1067</v>
      </c>
      <c r="D558" s="234" t="s">
        <v>1901</v>
      </c>
      <c r="E558" s="234" t="s">
        <v>1902</v>
      </c>
      <c r="F558" s="234" t="s">
        <v>15</v>
      </c>
      <c r="G558" s="237" t="s">
        <v>15</v>
      </c>
      <c r="H558" s="268" t="e">
        <f t="shared" si="9"/>
        <v>#VALUE!</v>
      </c>
      <c r="I558" s="237" t="s">
        <v>2335</v>
      </c>
      <c r="J558" s="234" t="s">
        <v>25</v>
      </c>
      <c r="K558" s="234" t="s">
        <v>1222</v>
      </c>
      <c r="L558" s="303" t="s">
        <v>17</v>
      </c>
      <c r="M558" s="234" t="s">
        <v>27</v>
      </c>
      <c r="N558" s="234" t="s">
        <v>15</v>
      </c>
    </row>
    <row r="559" spans="1:14">
      <c r="A559" s="236" t="s">
        <v>1903</v>
      </c>
      <c r="B559" s="234">
        <v>1</v>
      </c>
      <c r="C559" s="234" t="s">
        <v>1904</v>
      </c>
      <c r="D559" s="234" t="s">
        <v>1905</v>
      </c>
      <c r="E559" s="234" t="s">
        <v>35</v>
      </c>
      <c r="F559" s="278" t="s">
        <v>2855</v>
      </c>
      <c r="G559" s="235">
        <v>44707</v>
      </c>
      <c r="H559" s="268">
        <f t="shared" si="9"/>
        <v>3</v>
      </c>
      <c r="I559" s="235" t="s">
        <v>2335</v>
      </c>
      <c r="J559" s="234" t="s">
        <v>15</v>
      </c>
      <c r="K559" s="234" t="s">
        <v>1222</v>
      </c>
      <c r="L559" s="303" t="s">
        <v>17</v>
      </c>
      <c r="M559" s="234" t="s">
        <v>27</v>
      </c>
      <c r="N559" s="234" t="s">
        <v>15</v>
      </c>
    </row>
    <row r="560" spans="1:14">
      <c r="A560" s="246" t="s">
        <v>1906</v>
      </c>
      <c r="B560" s="234">
        <v>1</v>
      </c>
      <c r="C560" s="238" t="s">
        <v>1907</v>
      </c>
      <c r="D560" s="238" t="s">
        <v>15</v>
      </c>
      <c r="E560" s="234" t="s">
        <v>35</v>
      </c>
      <c r="F560" s="234" t="s">
        <v>15</v>
      </c>
      <c r="G560" s="235">
        <v>45051</v>
      </c>
      <c r="H560" s="268">
        <f t="shared" si="9"/>
        <v>2</v>
      </c>
      <c r="I560" s="235" t="s">
        <v>2335</v>
      </c>
      <c r="J560" s="234" t="s">
        <v>15</v>
      </c>
      <c r="K560" s="234" t="s">
        <v>15</v>
      </c>
      <c r="L560" s="303" t="s">
        <v>17</v>
      </c>
      <c r="M560" s="234" t="s">
        <v>27</v>
      </c>
      <c r="N560" s="234" t="s">
        <v>15</v>
      </c>
    </row>
    <row r="561" spans="1:14">
      <c r="A561" s="280" t="s">
        <v>1335</v>
      </c>
      <c r="B561" s="280">
        <v>1</v>
      </c>
      <c r="C561" s="280" t="s">
        <v>1288</v>
      </c>
      <c r="D561" s="280" t="s">
        <v>1908</v>
      </c>
      <c r="E561" s="280" t="s">
        <v>35</v>
      </c>
      <c r="F561" s="280" t="s">
        <v>2858</v>
      </c>
      <c r="G561" s="281">
        <v>43717</v>
      </c>
      <c r="H561" s="282">
        <f t="shared" si="9"/>
        <v>6</v>
      </c>
      <c r="I561" s="281" t="s">
        <v>2335</v>
      </c>
      <c r="J561" s="280" t="s">
        <v>15</v>
      </c>
      <c r="K561" s="280" t="s">
        <v>78</v>
      </c>
      <c r="L561" s="234" t="s">
        <v>17</v>
      </c>
      <c r="M561" s="280" t="s">
        <v>27</v>
      </c>
      <c r="N561" s="280" t="s">
        <v>15</v>
      </c>
    </row>
    <row r="562" spans="1:14">
      <c r="A562" s="280" t="s">
        <v>1335</v>
      </c>
      <c r="B562" s="280">
        <v>1</v>
      </c>
      <c r="C562" s="280" t="s">
        <v>1288</v>
      </c>
      <c r="D562" s="280" t="s">
        <v>1908</v>
      </c>
      <c r="E562" s="280" t="s">
        <v>35</v>
      </c>
      <c r="F562" s="280" t="s">
        <v>2857</v>
      </c>
      <c r="G562" s="291" t="s">
        <v>27</v>
      </c>
      <c r="H562" s="282" t="e">
        <f t="shared" si="9"/>
        <v>#VALUE!</v>
      </c>
      <c r="I562" s="291" t="s">
        <v>2335</v>
      </c>
      <c r="J562" s="280" t="s">
        <v>15</v>
      </c>
      <c r="K562" s="280" t="s">
        <v>1823</v>
      </c>
      <c r="L562" s="234" t="s">
        <v>17</v>
      </c>
      <c r="M562" s="280" t="s">
        <v>27</v>
      </c>
      <c r="N562" s="280" t="s">
        <v>15</v>
      </c>
    </row>
    <row r="563" spans="1:14">
      <c r="A563" s="280" t="s">
        <v>1335</v>
      </c>
      <c r="B563" s="280">
        <v>1</v>
      </c>
      <c r="C563" s="280" t="s">
        <v>1288</v>
      </c>
      <c r="D563" s="280" t="s">
        <v>1909</v>
      </c>
      <c r="E563" s="280" t="s">
        <v>35</v>
      </c>
      <c r="F563" s="280" t="s">
        <v>2856</v>
      </c>
      <c r="G563" s="281">
        <v>45427</v>
      </c>
      <c r="H563" s="282">
        <f t="shared" si="9"/>
        <v>1</v>
      </c>
      <c r="I563" s="281" t="s">
        <v>2335</v>
      </c>
      <c r="J563" s="280" t="s">
        <v>15</v>
      </c>
      <c r="K563" s="280" t="s">
        <v>1162</v>
      </c>
      <c r="L563" s="234" t="s">
        <v>17</v>
      </c>
      <c r="M563" s="280" t="s">
        <v>27</v>
      </c>
      <c r="N563" s="280" t="s">
        <v>15</v>
      </c>
    </row>
    <row r="564" spans="1:14">
      <c r="A564" s="236" t="s">
        <v>1910</v>
      </c>
      <c r="B564" s="234">
        <v>1</v>
      </c>
      <c r="C564" s="234" t="s">
        <v>147</v>
      </c>
      <c r="D564" s="234" t="s">
        <v>877</v>
      </c>
      <c r="E564" s="240" t="s">
        <v>878</v>
      </c>
      <c r="F564" s="243" t="s">
        <v>2776</v>
      </c>
      <c r="G564" s="235">
        <v>44825</v>
      </c>
      <c r="H564" s="270">
        <f t="shared" si="9"/>
        <v>3</v>
      </c>
      <c r="I564" s="242" t="s">
        <v>2335</v>
      </c>
      <c r="J564" s="240" t="s">
        <v>15</v>
      </c>
      <c r="K564" s="240" t="s">
        <v>1162</v>
      </c>
      <c r="L564" s="234" t="s">
        <v>17</v>
      </c>
      <c r="M564" s="275" t="s">
        <v>27</v>
      </c>
      <c r="N564" s="234" t="s">
        <v>15</v>
      </c>
    </row>
    <row r="565" spans="1:14">
      <c r="A565" s="233" t="s">
        <v>1911</v>
      </c>
      <c r="B565" s="234">
        <v>1</v>
      </c>
      <c r="C565" s="234" t="s">
        <v>1288</v>
      </c>
      <c r="D565" s="234" t="s">
        <v>1912</v>
      </c>
      <c r="E565" s="234">
        <v>2062831</v>
      </c>
      <c r="F565" s="243" t="s">
        <v>2777</v>
      </c>
      <c r="G565" s="235" t="s">
        <v>1913</v>
      </c>
      <c r="H565" s="268">
        <f t="shared" si="9"/>
        <v>6</v>
      </c>
      <c r="I565" s="235" t="s">
        <v>2335</v>
      </c>
      <c r="J565" s="234" t="s">
        <v>15</v>
      </c>
      <c r="K565" s="234" t="s">
        <v>2884</v>
      </c>
      <c r="L565" s="234" t="s">
        <v>17</v>
      </c>
      <c r="M565" s="234" t="s">
        <v>27</v>
      </c>
      <c r="N565" s="234" t="s">
        <v>15</v>
      </c>
    </row>
    <row r="566" spans="1:14">
      <c r="A566" s="236" t="s">
        <v>1914</v>
      </c>
      <c r="B566" s="234">
        <v>1</v>
      </c>
      <c r="C566" s="234" t="s">
        <v>1915</v>
      </c>
      <c r="D566" s="234" t="s">
        <v>1916</v>
      </c>
      <c r="E566" s="234" t="s">
        <v>15</v>
      </c>
      <c r="F566" s="278" t="s">
        <v>2859</v>
      </c>
      <c r="G566" s="241">
        <v>44704</v>
      </c>
      <c r="H566" s="270">
        <f t="shared" si="9"/>
        <v>3</v>
      </c>
      <c r="I566" s="241" t="s">
        <v>2335</v>
      </c>
      <c r="J566" s="240" t="s">
        <v>15</v>
      </c>
      <c r="K566" s="240" t="s">
        <v>2884</v>
      </c>
      <c r="L566" s="234" t="s">
        <v>17</v>
      </c>
      <c r="M566" s="234" t="s">
        <v>27</v>
      </c>
      <c r="N566" s="234" t="s">
        <v>15</v>
      </c>
    </row>
    <row r="567" spans="1:14">
      <c r="A567" s="236" t="s">
        <v>1917</v>
      </c>
      <c r="B567" s="234">
        <v>1</v>
      </c>
      <c r="C567" s="234" t="s">
        <v>538</v>
      </c>
      <c r="D567" s="234" t="s">
        <v>1918</v>
      </c>
      <c r="E567" s="234" t="s">
        <v>35</v>
      </c>
      <c r="F567" s="243" t="s">
        <v>2860</v>
      </c>
      <c r="G567" s="241">
        <v>44522</v>
      </c>
      <c r="H567" s="270">
        <f t="shared" si="9"/>
        <v>4</v>
      </c>
      <c r="I567" s="241" t="s">
        <v>2335</v>
      </c>
      <c r="J567" s="240" t="s">
        <v>15</v>
      </c>
      <c r="K567" s="240" t="s">
        <v>2955</v>
      </c>
      <c r="L567" s="234" t="s">
        <v>17</v>
      </c>
      <c r="M567" s="234"/>
      <c r="N567" s="234" t="s">
        <v>15</v>
      </c>
    </row>
    <row r="568" spans="1:14" ht="30">
      <c r="A568" s="27" t="s">
        <v>1919</v>
      </c>
      <c r="B568" s="27">
        <v>1</v>
      </c>
      <c r="C568" s="27" t="s">
        <v>1920</v>
      </c>
      <c r="D568" s="27" t="s">
        <v>1921</v>
      </c>
      <c r="E568" s="107" t="s">
        <v>1922</v>
      </c>
      <c r="F568" s="27" t="s">
        <v>2778</v>
      </c>
      <c r="G568" s="35">
        <v>44341</v>
      </c>
      <c r="H568" s="269">
        <f t="shared" si="9"/>
        <v>4</v>
      </c>
      <c r="I568" s="35" t="s">
        <v>2335</v>
      </c>
      <c r="J568" s="250" t="s">
        <v>15</v>
      </c>
      <c r="K568" s="27" t="s">
        <v>2277</v>
      </c>
      <c r="L568" s="27" t="s">
        <v>15</v>
      </c>
      <c r="M568" s="27"/>
      <c r="N568" s="27" t="s">
        <v>15</v>
      </c>
    </row>
    <row r="569" spans="1:14" ht="30">
      <c r="A569" s="27" t="s">
        <v>1919</v>
      </c>
      <c r="B569" s="27">
        <v>1</v>
      </c>
      <c r="C569" s="27" t="s">
        <v>1920</v>
      </c>
      <c r="D569" s="27" t="s">
        <v>1921</v>
      </c>
      <c r="E569" s="107" t="s">
        <v>1923</v>
      </c>
      <c r="F569" s="27" t="s">
        <v>2779</v>
      </c>
      <c r="G569" s="35">
        <v>44341</v>
      </c>
      <c r="H569" s="269">
        <f t="shared" si="9"/>
        <v>4</v>
      </c>
      <c r="I569" s="35" t="s">
        <v>2335</v>
      </c>
      <c r="J569" s="250" t="s">
        <v>15</v>
      </c>
      <c r="K569" s="27" t="s">
        <v>2278</v>
      </c>
      <c r="L569" s="27" t="s">
        <v>15</v>
      </c>
      <c r="M569" s="27"/>
      <c r="N569" s="27" t="s">
        <v>15</v>
      </c>
    </row>
    <row r="570" spans="1:14" ht="30">
      <c r="A570" s="27" t="s">
        <v>1919</v>
      </c>
      <c r="B570" s="27">
        <v>1</v>
      </c>
      <c r="C570" s="27" t="s">
        <v>1920</v>
      </c>
      <c r="D570" s="27" t="s">
        <v>1921</v>
      </c>
      <c r="E570" s="107" t="s">
        <v>1924</v>
      </c>
      <c r="F570" s="27" t="s">
        <v>2780</v>
      </c>
      <c r="G570" s="35">
        <v>44341</v>
      </c>
      <c r="H570" s="269">
        <f t="shared" si="9"/>
        <v>4</v>
      </c>
      <c r="I570" s="35" t="s">
        <v>2335</v>
      </c>
      <c r="J570" s="250" t="s">
        <v>15</v>
      </c>
      <c r="K570" s="27" t="s">
        <v>2279</v>
      </c>
      <c r="L570" s="27" t="s">
        <v>15</v>
      </c>
      <c r="M570" s="27"/>
      <c r="N570" s="27" t="s">
        <v>15</v>
      </c>
    </row>
    <row r="571" spans="1:14" ht="30">
      <c r="A571" s="27" t="s">
        <v>1919</v>
      </c>
      <c r="B571" s="27">
        <v>1</v>
      </c>
      <c r="C571" s="27" t="s">
        <v>1920</v>
      </c>
      <c r="D571" s="27" t="s">
        <v>1921</v>
      </c>
      <c r="E571" s="107" t="s">
        <v>1925</v>
      </c>
      <c r="F571" s="27" t="s">
        <v>2781</v>
      </c>
      <c r="G571" s="35">
        <v>44341</v>
      </c>
      <c r="H571" s="269">
        <f t="shared" si="9"/>
        <v>4</v>
      </c>
      <c r="I571" s="35" t="s">
        <v>2335</v>
      </c>
      <c r="J571" s="250" t="s">
        <v>15</v>
      </c>
      <c r="K571" s="27" t="s">
        <v>2280</v>
      </c>
      <c r="L571" s="27" t="s">
        <v>15</v>
      </c>
      <c r="M571" s="27"/>
      <c r="N571" s="27" t="s">
        <v>15</v>
      </c>
    </row>
    <row r="572" spans="1:14" ht="30">
      <c r="A572" s="27" t="s">
        <v>1919</v>
      </c>
      <c r="B572" s="27">
        <v>1</v>
      </c>
      <c r="C572" s="27" t="s">
        <v>1920</v>
      </c>
      <c r="D572" s="27" t="s">
        <v>1921</v>
      </c>
      <c r="E572" s="107" t="s">
        <v>1926</v>
      </c>
      <c r="F572" s="27" t="s">
        <v>2782</v>
      </c>
      <c r="G572" s="35">
        <v>44341</v>
      </c>
      <c r="H572" s="269">
        <f t="shared" si="9"/>
        <v>4</v>
      </c>
      <c r="I572" s="35" t="s">
        <v>2335</v>
      </c>
      <c r="J572" s="250" t="s">
        <v>15</v>
      </c>
      <c r="K572" s="27" t="s">
        <v>2281</v>
      </c>
      <c r="L572" s="27" t="s">
        <v>15</v>
      </c>
      <c r="M572" s="27"/>
      <c r="N572" s="27" t="s">
        <v>15</v>
      </c>
    </row>
    <row r="573" spans="1:14" ht="30">
      <c r="A573" s="262" t="s">
        <v>1919</v>
      </c>
      <c r="B573" s="262">
        <v>1</v>
      </c>
      <c r="C573" s="262" t="s">
        <v>1920</v>
      </c>
      <c r="D573" s="262" t="s">
        <v>1921</v>
      </c>
      <c r="E573" s="339" t="s">
        <v>1927</v>
      </c>
      <c r="F573" s="262" t="s">
        <v>2783</v>
      </c>
      <c r="G573" s="264">
        <v>44341</v>
      </c>
      <c r="H573" s="271">
        <f t="shared" si="9"/>
        <v>4</v>
      </c>
      <c r="I573" s="264" t="s">
        <v>2335</v>
      </c>
      <c r="J573" s="340" t="s">
        <v>15</v>
      </c>
      <c r="K573" s="262" t="s">
        <v>1222</v>
      </c>
      <c r="L573" s="262" t="s">
        <v>1142</v>
      </c>
      <c r="M573" s="262"/>
      <c r="N573" s="262" t="s">
        <v>2990</v>
      </c>
    </row>
    <row r="574" spans="1:14" ht="30">
      <c r="A574" s="27" t="s">
        <v>1919</v>
      </c>
      <c r="B574" s="27">
        <v>1</v>
      </c>
      <c r="C574" s="27" t="s">
        <v>1920</v>
      </c>
      <c r="D574" s="27" t="s">
        <v>1928</v>
      </c>
      <c r="E574" s="107" t="s">
        <v>1929</v>
      </c>
      <c r="F574" s="27" t="s">
        <v>2784</v>
      </c>
      <c r="G574" s="35">
        <v>44341</v>
      </c>
      <c r="H574" s="269">
        <f t="shared" si="9"/>
        <v>4</v>
      </c>
      <c r="I574" s="35" t="s">
        <v>2335</v>
      </c>
      <c r="J574" s="250" t="s">
        <v>15</v>
      </c>
      <c r="K574" s="27" t="s">
        <v>2283</v>
      </c>
      <c r="L574" s="27" t="s">
        <v>15</v>
      </c>
      <c r="M574" s="27"/>
      <c r="N574" s="27" t="s">
        <v>15</v>
      </c>
    </row>
    <row r="575" spans="1:14" ht="30">
      <c r="A575" s="262" t="s">
        <v>1919</v>
      </c>
      <c r="B575" s="262">
        <v>1</v>
      </c>
      <c r="C575" s="262" t="s">
        <v>1920</v>
      </c>
      <c r="D575" s="262" t="s">
        <v>1921</v>
      </c>
      <c r="E575" s="339" t="s">
        <v>1930</v>
      </c>
      <c r="F575" s="262" t="s">
        <v>2785</v>
      </c>
      <c r="G575" s="264">
        <v>44341</v>
      </c>
      <c r="H575" s="271">
        <f t="shared" si="9"/>
        <v>4</v>
      </c>
      <c r="I575" s="264" t="s">
        <v>2335</v>
      </c>
      <c r="J575" s="340" t="s">
        <v>15</v>
      </c>
      <c r="K575" s="262" t="s">
        <v>1222</v>
      </c>
      <c r="L575" s="262" t="s">
        <v>1142</v>
      </c>
      <c r="M575" s="262"/>
      <c r="N575" s="262" t="s">
        <v>2990</v>
      </c>
    </row>
    <row r="576" spans="1:14">
      <c r="A576" s="262" t="s">
        <v>1919</v>
      </c>
      <c r="B576" s="262">
        <v>1</v>
      </c>
      <c r="C576" s="262" t="s">
        <v>1920</v>
      </c>
      <c r="D576" s="262" t="s">
        <v>1931</v>
      </c>
      <c r="E576" s="339" t="s">
        <v>15</v>
      </c>
      <c r="F576" s="262" t="s">
        <v>2861</v>
      </c>
      <c r="G576" s="264">
        <v>45162</v>
      </c>
      <c r="H576" s="271">
        <f t="shared" si="9"/>
        <v>2</v>
      </c>
      <c r="I576" s="264" t="s">
        <v>2335</v>
      </c>
      <c r="J576" s="340" t="s">
        <v>15</v>
      </c>
      <c r="K576" s="262" t="s">
        <v>1222</v>
      </c>
      <c r="L576" s="262" t="s">
        <v>1142</v>
      </c>
      <c r="M576" s="262"/>
      <c r="N576" s="262" t="s">
        <v>2990</v>
      </c>
    </row>
    <row r="577" spans="1:14">
      <c r="A577" s="27" t="s">
        <v>1919</v>
      </c>
      <c r="B577" s="27">
        <v>1</v>
      </c>
      <c r="C577" s="27" t="s">
        <v>1920</v>
      </c>
      <c r="D577" s="27" t="s">
        <v>2331</v>
      </c>
      <c r="E577" s="107"/>
      <c r="F577" s="27" t="s">
        <v>2988</v>
      </c>
      <c r="G577" s="35">
        <v>45910</v>
      </c>
      <c r="H577" s="269">
        <f t="shared" si="9"/>
        <v>0</v>
      </c>
      <c r="I577" s="35" t="s">
        <v>2335</v>
      </c>
      <c r="J577" s="250"/>
      <c r="K577" s="27" t="s">
        <v>2282</v>
      </c>
      <c r="L577" s="27"/>
      <c r="M577" s="27"/>
      <c r="N577" s="27"/>
    </row>
    <row r="578" spans="1:14">
      <c r="A578" s="27" t="s">
        <v>1919</v>
      </c>
      <c r="B578" s="27">
        <v>1</v>
      </c>
      <c r="C578" s="27" t="s">
        <v>1920</v>
      </c>
      <c r="D578" s="27" t="s">
        <v>2332</v>
      </c>
      <c r="E578" s="107"/>
      <c r="F578" s="27" t="s">
        <v>2989</v>
      </c>
      <c r="G578" s="35">
        <v>45926</v>
      </c>
      <c r="H578" s="269">
        <f t="shared" si="9"/>
        <v>0</v>
      </c>
      <c r="I578" s="35" t="s">
        <v>2335</v>
      </c>
      <c r="J578" s="250"/>
      <c r="K578" s="27" t="s">
        <v>2284</v>
      </c>
      <c r="L578" s="27"/>
      <c r="M578" s="27"/>
      <c r="N578" s="27"/>
    </row>
    <row r="579" spans="1:14">
      <c r="A579" s="233" t="s">
        <v>1932</v>
      </c>
      <c r="B579" s="234">
        <v>1</v>
      </c>
      <c r="C579" s="240" t="s">
        <v>1933</v>
      </c>
      <c r="D579" s="234" t="s">
        <v>1934</v>
      </c>
      <c r="E579" s="240" t="s">
        <v>1935</v>
      </c>
      <c r="F579" s="243" t="s">
        <v>2786</v>
      </c>
      <c r="G579" s="235">
        <v>43728</v>
      </c>
      <c r="H579" s="268">
        <f t="shared" si="9"/>
        <v>6</v>
      </c>
      <c r="I579" s="235" t="s">
        <v>2335</v>
      </c>
      <c r="J579" s="240" t="s">
        <v>15</v>
      </c>
      <c r="K579" s="234" t="s">
        <v>15</v>
      </c>
      <c r="L579" s="234" t="s">
        <v>17</v>
      </c>
      <c r="M579" s="234" t="s">
        <v>27</v>
      </c>
      <c r="N579" s="234" t="s">
        <v>15</v>
      </c>
    </row>
    <row r="580" spans="1:14">
      <c r="A580" s="236" t="s">
        <v>315</v>
      </c>
      <c r="B580" s="234">
        <v>1</v>
      </c>
      <c r="C580" s="234" t="s">
        <v>131</v>
      </c>
      <c r="D580" s="234" t="s">
        <v>316</v>
      </c>
      <c r="E580" s="240" t="s">
        <v>1936</v>
      </c>
      <c r="F580" s="243" t="s">
        <v>2787</v>
      </c>
      <c r="G580" s="241">
        <v>44475</v>
      </c>
      <c r="H580" s="270">
        <f t="shared" si="9"/>
        <v>4</v>
      </c>
      <c r="I580" s="241" t="s">
        <v>2335</v>
      </c>
      <c r="J580" s="240" t="s">
        <v>15</v>
      </c>
      <c r="K580" s="248" t="s">
        <v>78</v>
      </c>
      <c r="L580" s="234" t="s">
        <v>17</v>
      </c>
      <c r="M580" s="234" t="s">
        <v>27</v>
      </c>
      <c r="N580" s="234" t="s">
        <v>15</v>
      </c>
    </row>
    <row r="581" spans="1:14">
      <c r="A581" s="236" t="s">
        <v>686</v>
      </c>
      <c r="B581" s="234">
        <v>1</v>
      </c>
      <c r="C581" s="234" t="s">
        <v>1937</v>
      </c>
      <c r="D581" s="234" t="s">
        <v>35</v>
      </c>
      <c r="E581" s="249">
        <v>500207510404</v>
      </c>
      <c r="F581" s="243" t="s">
        <v>2788</v>
      </c>
      <c r="G581" s="235">
        <v>43717</v>
      </c>
      <c r="H581" s="268">
        <f t="shared" si="9"/>
        <v>6</v>
      </c>
      <c r="I581" s="235" t="s">
        <v>2335</v>
      </c>
      <c r="J581" s="234" t="s">
        <v>15</v>
      </c>
      <c r="K581" s="234" t="s">
        <v>2884</v>
      </c>
      <c r="L581" s="234" t="s">
        <v>17</v>
      </c>
      <c r="M581" s="234" t="s">
        <v>27</v>
      </c>
      <c r="N581" s="234" t="s">
        <v>15</v>
      </c>
    </row>
    <row r="582" spans="1:14">
      <c r="A582" s="324" t="s">
        <v>1938</v>
      </c>
      <c r="B582" s="316">
        <v>1</v>
      </c>
      <c r="C582" s="316" t="s">
        <v>1939</v>
      </c>
      <c r="D582" s="316" t="s">
        <v>35</v>
      </c>
      <c r="E582" s="316" t="s">
        <v>35</v>
      </c>
      <c r="F582" s="317" t="s">
        <v>2863</v>
      </c>
      <c r="G582" s="318">
        <v>43717</v>
      </c>
      <c r="H582" s="319">
        <f t="shared" si="9"/>
        <v>6</v>
      </c>
      <c r="I582" s="318" t="s">
        <v>1156</v>
      </c>
      <c r="J582" s="316" t="s">
        <v>15</v>
      </c>
      <c r="K582" s="316" t="s">
        <v>2884</v>
      </c>
      <c r="L582" s="316" t="s">
        <v>17</v>
      </c>
      <c r="M582" s="316" t="s">
        <v>27</v>
      </c>
      <c r="N582" s="316" t="s">
        <v>15</v>
      </c>
    </row>
    <row r="583" spans="1:14">
      <c r="A583" s="236" t="s">
        <v>1938</v>
      </c>
      <c r="B583" s="234">
        <v>1</v>
      </c>
      <c r="C583" s="234" t="s">
        <v>538</v>
      </c>
      <c r="D583" s="234" t="s">
        <v>1940</v>
      </c>
      <c r="E583" s="234" t="s">
        <v>35</v>
      </c>
      <c r="F583" s="243" t="s">
        <v>2862</v>
      </c>
      <c r="G583" s="235">
        <v>44408</v>
      </c>
      <c r="H583" s="268">
        <f t="shared" si="9"/>
        <v>4</v>
      </c>
      <c r="I583" s="235" t="s">
        <v>2335</v>
      </c>
      <c r="J583" s="234" t="s">
        <v>15</v>
      </c>
      <c r="K583" s="234" t="s">
        <v>2884</v>
      </c>
      <c r="L583" s="234" t="s">
        <v>17</v>
      </c>
      <c r="M583" s="234" t="s">
        <v>27</v>
      </c>
      <c r="N583" s="234" t="s">
        <v>15</v>
      </c>
    </row>
    <row r="584" spans="1:14">
      <c r="A584" s="280" t="s">
        <v>1364</v>
      </c>
      <c r="B584" s="280">
        <v>1</v>
      </c>
      <c r="C584" s="279" t="s">
        <v>1365</v>
      </c>
      <c r="D584" s="279" t="s">
        <v>1366</v>
      </c>
      <c r="E584" s="279" t="s">
        <v>35</v>
      </c>
      <c r="F584" s="280" t="s">
        <v>2864</v>
      </c>
      <c r="G584" s="281">
        <v>43717</v>
      </c>
      <c r="H584" s="282">
        <f t="shared" si="9"/>
        <v>6</v>
      </c>
      <c r="I584" s="281" t="s">
        <v>2335</v>
      </c>
      <c r="J584" s="279" t="s">
        <v>15</v>
      </c>
      <c r="K584" s="279" t="s">
        <v>78</v>
      </c>
      <c r="L584" s="280" t="s">
        <v>27</v>
      </c>
      <c r="M584" s="280" t="s">
        <v>27</v>
      </c>
      <c r="N584" s="280" t="s">
        <v>15</v>
      </c>
    </row>
    <row r="585" spans="1:14">
      <c r="A585" s="280" t="s">
        <v>1364</v>
      </c>
      <c r="B585" s="280">
        <v>1</v>
      </c>
      <c r="C585" s="279" t="s">
        <v>1365</v>
      </c>
      <c r="D585" s="279" t="s">
        <v>1366</v>
      </c>
      <c r="E585" s="279" t="s">
        <v>15</v>
      </c>
      <c r="F585" s="280" t="s">
        <v>2865</v>
      </c>
      <c r="G585" s="281">
        <v>43717</v>
      </c>
      <c r="H585" s="282">
        <f t="shared" si="9"/>
        <v>6</v>
      </c>
      <c r="I585" s="281" t="s">
        <v>2335</v>
      </c>
      <c r="J585" s="279" t="s">
        <v>15</v>
      </c>
      <c r="K585" s="279" t="s">
        <v>78</v>
      </c>
      <c r="L585" s="280" t="s">
        <v>27</v>
      </c>
      <c r="M585" s="280" t="s">
        <v>27</v>
      </c>
      <c r="N585" s="280" t="s">
        <v>15</v>
      </c>
    </row>
    <row r="586" spans="1:14">
      <c r="A586" s="280" t="s">
        <v>1364</v>
      </c>
      <c r="B586" s="280">
        <v>1</v>
      </c>
      <c r="C586" s="279" t="s">
        <v>1365</v>
      </c>
      <c r="D586" s="279" t="s">
        <v>1366</v>
      </c>
      <c r="E586" s="279" t="s">
        <v>15</v>
      </c>
      <c r="F586" s="280" t="s">
        <v>2866</v>
      </c>
      <c r="G586" s="281">
        <v>45260</v>
      </c>
      <c r="H586" s="282">
        <f t="shared" si="9"/>
        <v>2</v>
      </c>
      <c r="I586" s="281" t="s">
        <v>2335</v>
      </c>
      <c r="J586" s="279" t="s">
        <v>15</v>
      </c>
      <c r="K586" s="279" t="s">
        <v>2884</v>
      </c>
      <c r="L586" s="280" t="s">
        <v>27</v>
      </c>
      <c r="M586" s="280" t="s">
        <v>27</v>
      </c>
      <c r="N586" s="280" t="s">
        <v>15</v>
      </c>
    </row>
    <row r="587" spans="1:14">
      <c r="A587" s="280" t="s">
        <v>1364</v>
      </c>
      <c r="B587" s="280">
        <v>1</v>
      </c>
      <c r="C587" s="279" t="s">
        <v>1365</v>
      </c>
      <c r="D587" s="279" t="s">
        <v>1366</v>
      </c>
      <c r="E587" s="279" t="s">
        <v>15</v>
      </c>
      <c r="F587" s="280" t="s">
        <v>2867</v>
      </c>
      <c r="G587" s="281">
        <v>45260</v>
      </c>
      <c r="H587" s="282">
        <f t="shared" si="9"/>
        <v>2</v>
      </c>
      <c r="I587" s="281" t="s">
        <v>2335</v>
      </c>
      <c r="J587" s="279" t="s">
        <v>15</v>
      </c>
      <c r="K587" s="279" t="s">
        <v>2889</v>
      </c>
      <c r="L587" s="280" t="s">
        <v>27</v>
      </c>
      <c r="M587" s="280" t="s">
        <v>27</v>
      </c>
      <c r="N587" s="280" t="s">
        <v>15</v>
      </c>
    </row>
    <row r="588" spans="1:14">
      <c r="A588" s="280" t="s">
        <v>1364</v>
      </c>
      <c r="B588" s="280">
        <v>1</v>
      </c>
      <c r="C588" s="279" t="s">
        <v>1365</v>
      </c>
      <c r="D588" s="279" t="s">
        <v>1366</v>
      </c>
      <c r="E588" s="279" t="s">
        <v>35</v>
      </c>
      <c r="F588" s="280" t="s">
        <v>2868</v>
      </c>
      <c r="G588" s="281">
        <v>45260</v>
      </c>
      <c r="H588" s="282">
        <f t="shared" si="9"/>
        <v>2</v>
      </c>
      <c r="I588" s="281" t="s">
        <v>2335</v>
      </c>
      <c r="J588" s="279" t="s">
        <v>15</v>
      </c>
      <c r="K588" s="279" t="s">
        <v>102</v>
      </c>
      <c r="L588" s="280" t="s">
        <v>27</v>
      </c>
      <c r="M588" s="280" t="s">
        <v>27</v>
      </c>
      <c r="N588" s="280" t="s">
        <v>15</v>
      </c>
    </row>
    <row r="589" spans="1:14">
      <c r="A589" s="236" t="s">
        <v>1942</v>
      </c>
      <c r="B589" s="234">
        <v>1</v>
      </c>
      <c r="C589" s="236" t="s">
        <v>1051</v>
      </c>
      <c r="D589" s="234" t="s">
        <v>1943</v>
      </c>
      <c r="E589" s="234" t="s">
        <v>1944</v>
      </c>
      <c r="F589" s="243" t="s">
        <v>2789</v>
      </c>
      <c r="G589" s="235">
        <v>45503</v>
      </c>
      <c r="H589" s="268">
        <f t="shared" si="9"/>
        <v>1</v>
      </c>
      <c r="I589" s="235" t="s">
        <v>2335</v>
      </c>
      <c r="J589" s="234" t="s">
        <v>15</v>
      </c>
      <c r="K589" s="234" t="s">
        <v>2902</v>
      </c>
      <c r="L589" s="234" t="s">
        <v>17</v>
      </c>
      <c r="M589" s="234"/>
      <c r="N589" s="234" t="s">
        <v>15</v>
      </c>
    </row>
    <row r="590" spans="1:14">
      <c r="A590" s="236" t="s">
        <v>1945</v>
      </c>
      <c r="B590" s="234">
        <v>1</v>
      </c>
      <c r="C590" s="236" t="s">
        <v>1946</v>
      </c>
      <c r="D590" s="234" t="s">
        <v>35</v>
      </c>
      <c r="E590" s="234" t="s">
        <v>15</v>
      </c>
      <c r="F590" s="243" t="s">
        <v>2869</v>
      </c>
      <c r="G590" s="35">
        <v>45532</v>
      </c>
      <c r="H590" s="268">
        <f t="shared" si="9"/>
        <v>1</v>
      </c>
      <c r="I590" s="235" t="s">
        <v>2335</v>
      </c>
      <c r="J590" s="234" t="s">
        <v>15</v>
      </c>
      <c r="K590" s="234" t="s">
        <v>2954</v>
      </c>
      <c r="L590" s="234" t="s">
        <v>17</v>
      </c>
      <c r="M590" s="234"/>
      <c r="N590" s="234" t="s">
        <v>15</v>
      </c>
    </row>
    <row r="591" spans="1:14">
      <c r="A591" s="236" t="s">
        <v>1947</v>
      </c>
      <c r="B591" s="234">
        <v>1</v>
      </c>
      <c r="C591" s="236" t="s">
        <v>15</v>
      </c>
      <c r="D591" s="234" t="s">
        <v>15</v>
      </c>
      <c r="E591" s="234" t="s">
        <v>15</v>
      </c>
      <c r="F591" s="243" t="s">
        <v>2870</v>
      </c>
      <c r="G591" s="35">
        <v>45532</v>
      </c>
      <c r="H591" s="268">
        <f t="shared" si="9"/>
        <v>1</v>
      </c>
      <c r="I591" s="235" t="s">
        <v>2335</v>
      </c>
      <c r="J591" s="234" t="s">
        <v>38</v>
      </c>
      <c r="K591" s="234" t="s">
        <v>15</v>
      </c>
      <c r="L591" s="234" t="s">
        <v>17</v>
      </c>
      <c r="M591" s="234"/>
      <c r="N591" s="234" t="s">
        <v>15</v>
      </c>
    </row>
    <row r="592" spans="1:14">
      <c r="A592" s="236" t="s">
        <v>1948</v>
      </c>
      <c r="B592" s="234">
        <v>1</v>
      </c>
      <c r="C592" s="236" t="s">
        <v>1949</v>
      </c>
      <c r="D592" s="234" t="s">
        <v>1950</v>
      </c>
      <c r="E592" s="234" t="s">
        <v>15</v>
      </c>
      <c r="F592" s="243" t="s">
        <v>2871</v>
      </c>
      <c r="G592" s="35">
        <v>45532</v>
      </c>
      <c r="H592" s="268">
        <f t="shared" si="9"/>
        <v>1</v>
      </c>
      <c r="I592" s="235" t="s">
        <v>2335</v>
      </c>
      <c r="J592" s="234" t="s">
        <v>38</v>
      </c>
      <c r="K592" s="234" t="s">
        <v>15</v>
      </c>
      <c r="L592" s="234" t="s">
        <v>17</v>
      </c>
      <c r="M592" s="234"/>
      <c r="N592" s="234" t="s">
        <v>15</v>
      </c>
    </row>
    <row r="593" spans="1:14">
      <c r="A593" s="236" t="s">
        <v>1951</v>
      </c>
      <c r="B593" s="234">
        <v>1</v>
      </c>
      <c r="C593" s="236" t="s">
        <v>15</v>
      </c>
      <c r="D593" s="234" t="s">
        <v>15</v>
      </c>
      <c r="E593" s="234" t="s">
        <v>15</v>
      </c>
      <c r="F593" s="243" t="s">
        <v>2872</v>
      </c>
      <c r="G593" s="35">
        <v>45532</v>
      </c>
      <c r="H593" s="268">
        <f t="shared" si="9"/>
        <v>1</v>
      </c>
      <c r="I593" s="235" t="s">
        <v>2335</v>
      </c>
      <c r="J593" s="234" t="s">
        <v>38</v>
      </c>
      <c r="K593" s="234" t="s">
        <v>15</v>
      </c>
      <c r="L593" s="234" t="s">
        <v>17</v>
      </c>
      <c r="M593" s="234"/>
      <c r="N593" s="234" t="s">
        <v>15</v>
      </c>
    </row>
    <row r="594" spans="1:14">
      <c r="A594" s="236" t="s">
        <v>1952</v>
      </c>
      <c r="B594" s="234">
        <v>1</v>
      </c>
      <c r="C594" s="236" t="s">
        <v>15</v>
      </c>
      <c r="D594" s="234" t="s">
        <v>15</v>
      </c>
      <c r="E594" s="234" t="s">
        <v>15</v>
      </c>
      <c r="F594" s="243" t="s">
        <v>2873</v>
      </c>
      <c r="G594" s="35">
        <v>45539</v>
      </c>
      <c r="H594" s="268">
        <f t="shared" si="9"/>
        <v>1</v>
      </c>
      <c r="I594" s="235" t="s">
        <v>2335</v>
      </c>
      <c r="J594" s="234" t="s">
        <v>38</v>
      </c>
      <c r="K594" s="234" t="s">
        <v>15</v>
      </c>
      <c r="L594" s="234" t="s">
        <v>17</v>
      </c>
      <c r="M594" s="234"/>
      <c r="N594" s="234" t="s">
        <v>15</v>
      </c>
    </row>
    <row r="595" spans="1:14">
      <c r="A595" s="27" t="s">
        <v>2991</v>
      </c>
      <c r="B595" s="27">
        <v>1</v>
      </c>
      <c r="C595" s="27" t="s">
        <v>1288</v>
      </c>
      <c r="D595" s="27" t="s">
        <v>2992</v>
      </c>
      <c r="E595" s="27" t="s">
        <v>35</v>
      </c>
      <c r="F595" s="27"/>
      <c r="G595" s="35">
        <v>46056</v>
      </c>
      <c r="H595" s="269"/>
      <c r="I595" s="35"/>
      <c r="J595" s="27"/>
      <c r="K595" s="27" t="s">
        <v>1823</v>
      </c>
      <c r="L595" s="27"/>
      <c r="M595" s="27"/>
      <c r="N595" s="27"/>
    </row>
    <row r="596" spans="1:14">
      <c r="A596" s="27" t="s">
        <v>2991</v>
      </c>
      <c r="B596" s="27">
        <v>1</v>
      </c>
      <c r="C596" s="27" t="s">
        <v>1288</v>
      </c>
      <c r="D596" s="27" t="s">
        <v>2992</v>
      </c>
      <c r="E596" s="27" t="s">
        <v>35</v>
      </c>
      <c r="F596" s="27"/>
      <c r="G596" s="35">
        <v>46056</v>
      </c>
      <c r="H596" s="269"/>
      <c r="I596" s="35"/>
      <c r="J596" s="27"/>
      <c r="K596" s="27" t="s">
        <v>1823</v>
      </c>
      <c r="L596" s="27"/>
      <c r="M596" s="27"/>
      <c r="N596" s="27"/>
    </row>
    <row r="597" spans="1:14">
      <c r="A597" s="27" t="s">
        <v>2991</v>
      </c>
      <c r="B597" s="27">
        <v>1</v>
      </c>
      <c r="C597" s="27" t="s">
        <v>1288</v>
      </c>
      <c r="D597" s="27" t="s">
        <v>2992</v>
      </c>
      <c r="E597" s="27" t="s">
        <v>35</v>
      </c>
      <c r="F597" s="27"/>
      <c r="G597" s="35">
        <v>46056</v>
      </c>
      <c r="H597" s="269"/>
      <c r="I597" s="35"/>
      <c r="J597" s="27"/>
      <c r="K597" s="27" t="s">
        <v>78</v>
      </c>
      <c r="L597" s="27"/>
      <c r="M597" s="27"/>
      <c r="N597" s="27"/>
    </row>
    <row r="598" spans="1:14">
      <c r="A598" s="27" t="s">
        <v>2991</v>
      </c>
      <c r="B598" s="27">
        <v>1</v>
      </c>
      <c r="C598" s="27" t="s">
        <v>1288</v>
      </c>
      <c r="D598" s="27" t="s">
        <v>2992</v>
      </c>
      <c r="E598" s="27" t="s">
        <v>35</v>
      </c>
      <c r="F598" s="27"/>
      <c r="G598" s="35">
        <v>46056</v>
      </c>
      <c r="H598" s="269"/>
      <c r="I598" s="35"/>
      <c r="J598" s="27"/>
      <c r="K598" s="27" t="s">
        <v>1222</v>
      </c>
      <c r="L598" s="27"/>
      <c r="M598" s="27"/>
      <c r="N598" s="27"/>
    </row>
    <row r="599" spans="1:14">
      <c r="A599" s="27" t="s">
        <v>2991</v>
      </c>
      <c r="B599" s="27">
        <v>1</v>
      </c>
      <c r="C599" s="27" t="s">
        <v>1288</v>
      </c>
      <c r="D599" s="27" t="s">
        <v>2992</v>
      </c>
      <c r="E599" s="27" t="s">
        <v>35</v>
      </c>
      <c r="F599" s="27"/>
      <c r="G599" s="35">
        <v>46056</v>
      </c>
      <c r="H599" s="269"/>
      <c r="I599" s="35"/>
      <c r="J599" s="27"/>
      <c r="K599" s="27" t="s">
        <v>1222</v>
      </c>
      <c r="L599" s="27"/>
      <c r="M599" s="27"/>
      <c r="N599" s="27"/>
    </row>
    <row r="600" spans="1:14">
      <c r="A600" s="309" t="s">
        <v>1269</v>
      </c>
      <c r="B600" s="309">
        <v>1</v>
      </c>
      <c r="C600" s="309" t="s">
        <v>1270</v>
      </c>
      <c r="D600" s="309" t="s">
        <v>1271</v>
      </c>
      <c r="E600" s="333">
        <v>353852240614005</v>
      </c>
      <c r="F600" s="309" t="s">
        <v>1272</v>
      </c>
      <c r="G600" s="306">
        <v>44029</v>
      </c>
      <c r="H600" s="307">
        <f t="shared" ref="H600:H653" si="10">ABS(YEAR(G600)-2025)</f>
        <v>5</v>
      </c>
      <c r="I600" s="306" t="s">
        <v>2882</v>
      </c>
      <c r="J600" s="309"/>
      <c r="K600" s="309"/>
      <c r="L600" s="309" t="s">
        <v>1137</v>
      </c>
      <c r="M600" s="309"/>
      <c r="N600" s="309" t="s">
        <v>1137</v>
      </c>
    </row>
    <row r="601" spans="1:14">
      <c r="A601" s="309" t="s">
        <v>1269</v>
      </c>
      <c r="B601" s="309">
        <v>1</v>
      </c>
      <c r="C601" s="309" t="s">
        <v>1270</v>
      </c>
      <c r="D601" s="309" t="s">
        <v>1271</v>
      </c>
      <c r="E601" s="333">
        <v>353852240620689</v>
      </c>
      <c r="F601" s="309" t="s">
        <v>1273</v>
      </c>
      <c r="G601" s="306">
        <v>44029</v>
      </c>
      <c r="H601" s="307">
        <f t="shared" si="10"/>
        <v>5</v>
      </c>
      <c r="I601" s="306" t="s">
        <v>2882</v>
      </c>
      <c r="J601" s="309"/>
      <c r="K601" s="309"/>
      <c r="L601" s="309" t="s">
        <v>1137</v>
      </c>
      <c r="M601" s="309"/>
      <c r="N601" s="309" t="s">
        <v>1137</v>
      </c>
    </row>
    <row r="602" spans="1:14">
      <c r="A602" s="287" t="s">
        <v>1274</v>
      </c>
      <c r="B602" s="287">
        <v>1</v>
      </c>
      <c r="C602" s="287" t="s">
        <v>1051</v>
      </c>
      <c r="D602" s="287" t="s">
        <v>1275</v>
      </c>
      <c r="E602" s="287" t="s">
        <v>1276</v>
      </c>
      <c r="F602" s="287" t="s">
        <v>1277</v>
      </c>
      <c r="G602" s="288">
        <v>43831</v>
      </c>
      <c r="H602" s="289">
        <f t="shared" si="10"/>
        <v>5</v>
      </c>
      <c r="I602" s="288" t="s">
        <v>2882</v>
      </c>
      <c r="J602" s="287"/>
      <c r="K602" s="287" t="s">
        <v>2887</v>
      </c>
      <c r="L602" s="234" t="s">
        <v>17</v>
      </c>
      <c r="M602" s="287" t="s">
        <v>27</v>
      </c>
      <c r="N602" s="287"/>
    </row>
    <row r="603" spans="1:14">
      <c r="A603" s="287" t="s">
        <v>1274</v>
      </c>
      <c r="B603" s="287">
        <v>1</v>
      </c>
      <c r="C603" s="287" t="s">
        <v>1051</v>
      </c>
      <c r="D603" s="287" t="s">
        <v>1278</v>
      </c>
      <c r="E603" s="287" t="s">
        <v>1279</v>
      </c>
      <c r="F603" s="287" t="s">
        <v>1280</v>
      </c>
      <c r="G603" s="288">
        <v>43831</v>
      </c>
      <c r="H603" s="289">
        <f t="shared" si="10"/>
        <v>5</v>
      </c>
      <c r="I603" s="288" t="s">
        <v>2882</v>
      </c>
      <c r="J603" s="287"/>
      <c r="K603" s="287" t="s">
        <v>2887</v>
      </c>
      <c r="L603" s="234" t="s">
        <v>17</v>
      </c>
      <c r="M603" s="287" t="s">
        <v>27</v>
      </c>
      <c r="N603" s="287"/>
    </row>
    <row r="604" spans="1:14">
      <c r="A604" s="287" t="s">
        <v>1281</v>
      </c>
      <c r="B604" s="287">
        <v>1</v>
      </c>
      <c r="C604" s="287" t="s">
        <v>1282</v>
      </c>
      <c r="D604" s="287" t="s">
        <v>1283</v>
      </c>
      <c r="E604" s="287" t="s">
        <v>35</v>
      </c>
      <c r="F604" s="309" t="s">
        <v>1284</v>
      </c>
      <c r="G604" s="288">
        <v>44830</v>
      </c>
      <c r="H604" s="289">
        <f t="shared" si="10"/>
        <v>3</v>
      </c>
      <c r="I604" s="288" t="s">
        <v>2882</v>
      </c>
      <c r="J604" s="287"/>
      <c r="K604" s="287" t="s">
        <v>2887</v>
      </c>
      <c r="L604" s="287" t="s">
        <v>27</v>
      </c>
      <c r="M604" s="287" t="s">
        <v>27</v>
      </c>
      <c r="N604" s="287"/>
    </row>
    <row r="605" spans="1:14">
      <c r="A605" s="287" t="s">
        <v>1281</v>
      </c>
      <c r="B605" s="287">
        <v>1</v>
      </c>
      <c r="C605" s="287" t="s">
        <v>1282</v>
      </c>
      <c r="D605" s="287" t="s">
        <v>1283</v>
      </c>
      <c r="E605" s="287" t="s">
        <v>35</v>
      </c>
      <c r="F605" s="287" t="s">
        <v>1285</v>
      </c>
      <c r="G605" s="288">
        <v>44830</v>
      </c>
      <c r="H605" s="289">
        <f t="shared" si="10"/>
        <v>3</v>
      </c>
      <c r="I605" s="288" t="s">
        <v>2882</v>
      </c>
      <c r="J605" s="287"/>
      <c r="K605" s="300" t="s">
        <v>2887</v>
      </c>
      <c r="L605" s="301" t="s">
        <v>27</v>
      </c>
      <c r="M605" s="301" t="s">
        <v>27</v>
      </c>
      <c r="N605" s="287"/>
    </row>
    <row r="606" spans="1:14">
      <c r="A606" s="287" t="s">
        <v>1281</v>
      </c>
      <c r="B606" s="287">
        <v>1</v>
      </c>
      <c r="C606" s="287" t="s">
        <v>1282</v>
      </c>
      <c r="D606" s="287" t="s">
        <v>1283</v>
      </c>
      <c r="E606" s="287" t="s">
        <v>35</v>
      </c>
      <c r="F606" s="287" t="s">
        <v>1286</v>
      </c>
      <c r="G606" s="288">
        <v>44830</v>
      </c>
      <c r="H606" s="289">
        <f t="shared" si="10"/>
        <v>3</v>
      </c>
      <c r="I606" s="288" t="s">
        <v>2882</v>
      </c>
      <c r="J606" s="287"/>
      <c r="K606" s="300" t="s">
        <v>2887</v>
      </c>
      <c r="L606" s="301" t="s">
        <v>27</v>
      </c>
      <c r="M606" s="301" t="s">
        <v>27</v>
      </c>
      <c r="N606" s="287"/>
    </row>
    <row r="607" spans="1:14">
      <c r="A607" s="287" t="s">
        <v>1287</v>
      </c>
      <c r="B607" s="287">
        <v>1</v>
      </c>
      <c r="C607" s="287" t="s">
        <v>1288</v>
      </c>
      <c r="D607" s="287" t="s">
        <v>1289</v>
      </c>
      <c r="E607" s="287" t="s">
        <v>35</v>
      </c>
      <c r="F607" s="294" t="s">
        <v>1291</v>
      </c>
      <c r="G607" s="288" t="s">
        <v>1290</v>
      </c>
      <c r="H607" s="289" t="e">
        <f t="shared" si="10"/>
        <v>#VALUE!</v>
      </c>
      <c r="I607" s="288" t="s">
        <v>2882</v>
      </c>
      <c r="J607" s="287"/>
      <c r="K607" s="287" t="s">
        <v>78</v>
      </c>
      <c r="L607" s="234" t="s">
        <v>17</v>
      </c>
      <c r="M607" s="287" t="s">
        <v>27</v>
      </c>
      <c r="N607" s="287"/>
    </row>
    <row r="608" spans="1:14">
      <c r="A608" s="287" t="s">
        <v>1287</v>
      </c>
      <c r="B608" s="287">
        <v>1</v>
      </c>
      <c r="C608" s="287" t="s">
        <v>1288</v>
      </c>
      <c r="D608" s="287" t="s">
        <v>1289</v>
      </c>
      <c r="E608" s="287" t="s">
        <v>35</v>
      </c>
      <c r="F608" s="294" t="s">
        <v>1292</v>
      </c>
      <c r="G608" s="288" t="s">
        <v>1290</v>
      </c>
      <c r="H608" s="289" t="e">
        <f t="shared" si="10"/>
        <v>#VALUE!</v>
      </c>
      <c r="I608" s="288" t="s">
        <v>2882</v>
      </c>
      <c r="J608" s="287"/>
      <c r="K608" s="287" t="s">
        <v>2887</v>
      </c>
      <c r="L608" s="234" t="s">
        <v>17</v>
      </c>
      <c r="M608" s="287" t="s">
        <v>27</v>
      </c>
      <c r="N608" s="287"/>
    </row>
    <row r="609" spans="1:14">
      <c r="A609" s="287" t="s">
        <v>1293</v>
      </c>
      <c r="B609" s="287">
        <v>1</v>
      </c>
      <c r="C609" s="287" t="s">
        <v>1288</v>
      </c>
      <c r="D609" s="287" t="s">
        <v>1294</v>
      </c>
      <c r="E609" s="287">
        <v>752915</v>
      </c>
      <c r="F609" s="287" t="s">
        <v>1295</v>
      </c>
      <c r="G609" s="288">
        <v>43971</v>
      </c>
      <c r="H609" s="289">
        <f t="shared" si="10"/>
        <v>5</v>
      </c>
      <c r="I609" s="288" t="s">
        <v>2882</v>
      </c>
      <c r="J609" s="287"/>
      <c r="K609" s="287" t="s">
        <v>2887</v>
      </c>
      <c r="L609" s="234" t="s">
        <v>17</v>
      </c>
      <c r="M609" s="287" t="s">
        <v>27</v>
      </c>
      <c r="N609" s="287"/>
    </row>
    <row r="610" spans="1:14">
      <c r="A610" s="287" t="s">
        <v>1293</v>
      </c>
      <c r="B610" s="287">
        <v>1</v>
      </c>
      <c r="C610" s="287" t="s">
        <v>1288</v>
      </c>
      <c r="D610" s="287" t="s">
        <v>1294</v>
      </c>
      <c r="E610" s="287">
        <v>732205</v>
      </c>
      <c r="F610" s="287" t="s">
        <v>1296</v>
      </c>
      <c r="G610" s="288">
        <v>43971</v>
      </c>
      <c r="H610" s="289">
        <f t="shared" si="10"/>
        <v>5</v>
      </c>
      <c r="I610" s="288" t="s">
        <v>2882</v>
      </c>
      <c r="J610" s="287"/>
      <c r="K610" s="287" t="s">
        <v>2943</v>
      </c>
      <c r="L610" s="234" t="s">
        <v>17</v>
      </c>
      <c r="M610" s="287" t="s">
        <v>27</v>
      </c>
      <c r="N610" s="287"/>
    </row>
    <row r="611" spans="1:14">
      <c r="A611" s="287" t="s">
        <v>1293</v>
      </c>
      <c r="B611" s="287">
        <v>1</v>
      </c>
      <c r="C611" s="287" t="s">
        <v>1288</v>
      </c>
      <c r="D611" s="287" t="s">
        <v>1294</v>
      </c>
      <c r="E611" s="287">
        <v>613650</v>
      </c>
      <c r="F611" s="287" t="s">
        <v>1297</v>
      </c>
      <c r="G611" s="287" t="s">
        <v>35</v>
      </c>
      <c r="H611" s="289" t="e">
        <f t="shared" si="10"/>
        <v>#VALUE!</v>
      </c>
      <c r="I611" s="287" t="s">
        <v>2882</v>
      </c>
      <c r="J611" s="287"/>
      <c r="K611" s="287" t="s">
        <v>2887</v>
      </c>
      <c r="L611" s="234" t="s">
        <v>17</v>
      </c>
      <c r="M611" s="287" t="s">
        <v>27</v>
      </c>
      <c r="N611" s="287"/>
    </row>
    <row r="612" spans="1:14">
      <c r="A612" s="287" t="s">
        <v>947</v>
      </c>
      <c r="B612" s="287">
        <v>1</v>
      </c>
      <c r="C612" s="287" t="s">
        <v>1298</v>
      </c>
      <c r="D612" s="287" t="s">
        <v>1299</v>
      </c>
      <c r="E612" s="287" t="s">
        <v>1300</v>
      </c>
      <c r="F612" s="287" t="s">
        <v>1301</v>
      </c>
      <c r="G612" s="288">
        <v>44756</v>
      </c>
      <c r="H612" s="289">
        <f t="shared" si="10"/>
        <v>3</v>
      </c>
      <c r="I612" s="288" t="s">
        <v>2882</v>
      </c>
      <c r="J612" s="287"/>
      <c r="K612" s="287"/>
      <c r="L612" s="234" t="s">
        <v>17</v>
      </c>
      <c r="M612" s="287"/>
      <c r="N612" s="287"/>
    </row>
    <row r="613" spans="1:14">
      <c r="A613" s="287" t="s">
        <v>947</v>
      </c>
      <c r="B613" s="287">
        <v>1</v>
      </c>
      <c r="C613" s="287" t="s">
        <v>1298</v>
      </c>
      <c r="D613" s="287" t="s">
        <v>1299</v>
      </c>
      <c r="E613" s="287" t="s">
        <v>1302</v>
      </c>
      <c r="F613" s="287" t="s">
        <v>1303</v>
      </c>
      <c r="G613" s="288">
        <v>44756</v>
      </c>
      <c r="H613" s="289">
        <f t="shared" si="10"/>
        <v>3</v>
      </c>
      <c r="I613" s="288" t="s">
        <v>2882</v>
      </c>
      <c r="J613" s="287"/>
      <c r="K613" s="287"/>
      <c r="L613" s="234" t="s">
        <v>17</v>
      </c>
      <c r="M613" s="287"/>
      <c r="N613" s="287"/>
    </row>
    <row r="614" spans="1:14">
      <c r="A614" s="286" t="s">
        <v>1304</v>
      </c>
      <c r="B614" s="287">
        <v>1</v>
      </c>
      <c r="C614" s="287" t="s">
        <v>187</v>
      </c>
      <c r="D614" s="287" t="s">
        <v>1305</v>
      </c>
      <c r="E614" s="287" t="s">
        <v>1306</v>
      </c>
      <c r="F614" s="287" t="s">
        <v>1307</v>
      </c>
      <c r="G614" s="288">
        <v>43923</v>
      </c>
      <c r="H614" s="289">
        <f t="shared" si="10"/>
        <v>5</v>
      </c>
      <c r="I614" s="288" t="s">
        <v>2882</v>
      </c>
      <c r="J614" s="287"/>
      <c r="K614" s="300" t="s">
        <v>2887</v>
      </c>
      <c r="L614" s="234" t="s">
        <v>17</v>
      </c>
      <c r="M614" s="301" t="s">
        <v>27</v>
      </c>
      <c r="N614" s="287"/>
    </row>
    <row r="615" spans="1:14">
      <c r="A615" s="286" t="s">
        <v>1304</v>
      </c>
      <c r="B615" s="287">
        <v>1</v>
      </c>
      <c r="C615" s="287" t="s">
        <v>187</v>
      </c>
      <c r="D615" s="287" t="s">
        <v>1305</v>
      </c>
      <c r="E615" s="287" t="s">
        <v>1308</v>
      </c>
      <c r="F615" s="287" t="s">
        <v>1309</v>
      </c>
      <c r="G615" s="288">
        <v>43923</v>
      </c>
      <c r="H615" s="289">
        <f t="shared" si="10"/>
        <v>5</v>
      </c>
      <c r="I615" s="288" t="s">
        <v>2882</v>
      </c>
      <c r="J615" s="287"/>
      <c r="K615" s="287" t="s">
        <v>2948</v>
      </c>
      <c r="L615" s="234" t="s">
        <v>17</v>
      </c>
      <c r="M615" s="287" t="s">
        <v>27</v>
      </c>
      <c r="N615" s="287"/>
    </row>
    <row r="616" spans="1:14">
      <c r="A616" s="286" t="s">
        <v>1310</v>
      </c>
      <c r="B616" s="287">
        <v>1</v>
      </c>
      <c r="C616" s="287" t="s">
        <v>1311</v>
      </c>
      <c r="D616" s="287" t="s">
        <v>1312</v>
      </c>
      <c r="E616" s="287" t="s">
        <v>1313</v>
      </c>
      <c r="F616" s="287" t="s">
        <v>1314</v>
      </c>
      <c r="G616" s="288">
        <v>43717</v>
      </c>
      <c r="H616" s="289">
        <f t="shared" si="10"/>
        <v>6</v>
      </c>
      <c r="I616" s="288" t="s">
        <v>2882</v>
      </c>
      <c r="J616" s="287"/>
      <c r="K616" s="287" t="s">
        <v>2887</v>
      </c>
      <c r="L616" s="287" t="s">
        <v>27</v>
      </c>
      <c r="M616" s="287" t="s">
        <v>27</v>
      </c>
      <c r="N616" s="287"/>
    </row>
    <row r="617" spans="1:14">
      <c r="A617" s="286" t="s">
        <v>1310</v>
      </c>
      <c r="B617" s="287">
        <v>1</v>
      </c>
      <c r="C617" s="287" t="s">
        <v>1311</v>
      </c>
      <c r="D617" s="287" t="s">
        <v>1312</v>
      </c>
      <c r="E617" s="287" t="s">
        <v>1315</v>
      </c>
      <c r="F617" s="287" t="s">
        <v>1316</v>
      </c>
      <c r="G617" s="232">
        <v>43717</v>
      </c>
      <c r="H617" s="268">
        <f t="shared" si="10"/>
        <v>6</v>
      </c>
      <c r="I617" s="232" t="s">
        <v>2882</v>
      </c>
      <c r="J617" s="287"/>
      <c r="K617" s="287" t="s">
        <v>78</v>
      </c>
      <c r="L617" s="287" t="s">
        <v>27</v>
      </c>
      <c r="M617" s="287" t="s">
        <v>27</v>
      </c>
      <c r="N617" s="287"/>
    </row>
    <row r="618" spans="1:14">
      <c r="A618" s="236" t="s">
        <v>1317</v>
      </c>
      <c r="B618" s="234">
        <v>1</v>
      </c>
      <c r="C618" s="236" t="s">
        <v>1318</v>
      </c>
      <c r="D618" s="234" t="s">
        <v>1319</v>
      </c>
      <c r="E618" s="234" t="s">
        <v>1320</v>
      </c>
      <c r="F618" s="243" t="s">
        <v>1321</v>
      </c>
      <c r="G618" s="232">
        <v>44830</v>
      </c>
      <c r="H618" s="268">
        <f t="shared" si="10"/>
        <v>3</v>
      </c>
      <c r="I618" s="235" t="s">
        <v>2882</v>
      </c>
      <c r="J618" s="234"/>
      <c r="K618" s="234"/>
      <c r="L618" s="234" t="s">
        <v>17</v>
      </c>
      <c r="M618" s="234" t="s">
        <v>27</v>
      </c>
      <c r="N618" s="234"/>
    </row>
    <row r="619" spans="1:14">
      <c r="A619" s="287" t="s">
        <v>1322</v>
      </c>
      <c r="B619" s="287">
        <v>1</v>
      </c>
      <c r="C619" s="287" t="s">
        <v>1323</v>
      </c>
      <c r="D619" s="287" t="s">
        <v>1324</v>
      </c>
      <c r="E619" s="287" t="s">
        <v>1325</v>
      </c>
      <c r="F619" s="287" t="s">
        <v>1326</v>
      </c>
      <c r="G619" s="288">
        <v>44830</v>
      </c>
      <c r="H619" s="289">
        <f t="shared" si="10"/>
        <v>3</v>
      </c>
      <c r="I619" s="288" t="s">
        <v>2882</v>
      </c>
      <c r="J619" s="287"/>
      <c r="K619" s="287" t="s">
        <v>2887</v>
      </c>
      <c r="L619" s="287" t="s">
        <v>27</v>
      </c>
      <c r="M619" s="287" t="s">
        <v>27</v>
      </c>
      <c r="N619" s="287"/>
    </row>
    <row r="620" spans="1:14">
      <c r="A620" s="287" t="s">
        <v>1322</v>
      </c>
      <c r="B620" s="287">
        <v>1</v>
      </c>
      <c r="C620" s="287" t="s">
        <v>1323</v>
      </c>
      <c r="D620" s="287" t="s">
        <v>1324</v>
      </c>
      <c r="E620" s="287" t="s">
        <v>1327</v>
      </c>
      <c r="F620" s="287" t="s">
        <v>2961</v>
      </c>
      <c r="G620" s="288">
        <v>44830</v>
      </c>
      <c r="H620" s="289">
        <f t="shared" si="10"/>
        <v>3</v>
      </c>
      <c r="I620" s="288" t="s">
        <v>2882</v>
      </c>
      <c r="J620" s="287"/>
      <c r="K620" s="287" t="s">
        <v>963</v>
      </c>
      <c r="L620" s="287" t="s">
        <v>27</v>
      </c>
      <c r="M620" s="287" t="s">
        <v>27</v>
      </c>
      <c r="N620" s="287"/>
    </row>
    <row r="621" spans="1:14">
      <c r="A621" s="287" t="s">
        <v>1328</v>
      </c>
      <c r="B621" s="287">
        <v>1</v>
      </c>
      <c r="C621" s="287" t="s">
        <v>1329</v>
      </c>
      <c r="D621" s="287">
        <v>2877</v>
      </c>
      <c r="E621" s="287" t="s">
        <v>35</v>
      </c>
      <c r="F621" s="287" t="s">
        <v>1330</v>
      </c>
      <c r="G621" s="288">
        <v>44830</v>
      </c>
      <c r="H621" s="289">
        <f t="shared" si="10"/>
        <v>3</v>
      </c>
      <c r="I621" s="287" t="s">
        <v>2882</v>
      </c>
      <c r="J621" s="287"/>
      <c r="K621" s="300" t="s">
        <v>2887</v>
      </c>
      <c r="L621" s="301" t="s">
        <v>27</v>
      </c>
      <c r="M621" s="301" t="s">
        <v>27</v>
      </c>
      <c r="N621" s="287"/>
    </row>
    <row r="622" spans="1:14">
      <c r="A622" s="287" t="s">
        <v>1328</v>
      </c>
      <c r="B622" s="287">
        <v>1</v>
      </c>
      <c r="C622" s="287" t="s">
        <v>1329</v>
      </c>
      <c r="D622" s="287">
        <v>2877</v>
      </c>
      <c r="E622" s="287" t="s">
        <v>35</v>
      </c>
      <c r="F622" s="287" t="s">
        <v>1331</v>
      </c>
      <c r="G622" s="288">
        <v>44830</v>
      </c>
      <c r="H622" s="289">
        <f t="shared" si="10"/>
        <v>3</v>
      </c>
      <c r="I622" s="287" t="s">
        <v>2882</v>
      </c>
      <c r="J622" s="287"/>
      <c r="K622" s="300" t="s">
        <v>2887</v>
      </c>
      <c r="L622" s="301" t="s">
        <v>27</v>
      </c>
      <c r="M622" s="301" t="s">
        <v>27</v>
      </c>
      <c r="N622" s="287"/>
    </row>
    <row r="623" spans="1:14">
      <c r="A623" s="287" t="s">
        <v>246</v>
      </c>
      <c r="B623" s="287">
        <v>1</v>
      </c>
      <c r="C623" s="287" t="s">
        <v>1323</v>
      </c>
      <c r="D623" s="287" t="s">
        <v>1332</v>
      </c>
      <c r="E623" s="287">
        <v>75074</v>
      </c>
      <c r="F623" s="287" t="s">
        <v>1333</v>
      </c>
      <c r="G623" s="288">
        <v>44830</v>
      </c>
      <c r="H623" s="289">
        <f t="shared" si="10"/>
        <v>3</v>
      </c>
      <c r="I623" s="288" t="s">
        <v>2882</v>
      </c>
      <c r="J623" s="287"/>
      <c r="K623" s="287" t="s">
        <v>963</v>
      </c>
      <c r="L623" s="287" t="s">
        <v>27</v>
      </c>
      <c r="M623" s="287" t="s">
        <v>27</v>
      </c>
      <c r="N623" s="195"/>
    </row>
    <row r="624" spans="1:14">
      <c r="A624" s="287" t="s">
        <v>246</v>
      </c>
      <c r="B624" s="287">
        <v>1</v>
      </c>
      <c r="C624" s="287" t="s">
        <v>1323</v>
      </c>
      <c r="D624" s="287" t="s">
        <v>1332</v>
      </c>
      <c r="E624" s="287">
        <v>75051</v>
      </c>
      <c r="F624" s="287" t="s">
        <v>1334</v>
      </c>
      <c r="G624" s="288">
        <v>44830</v>
      </c>
      <c r="H624" s="289">
        <f t="shared" si="10"/>
        <v>3</v>
      </c>
      <c r="I624" s="288" t="s">
        <v>2882</v>
      </c>
      <c r="J624" s="287"/>
      <c r="K624" s="300" t="s">
        <v>2887</v>
      </c>
      <c r="L624" s="287" t="s">
        <v>27</v>
      </c>
      <c r="M624" s="301" t="s">
        <v>27</v>
      </c>
      <c r="N624" s="287"/>
    </row>
    <row r="625" spans="1:14">
      <c r="A625" s="236" t="s">
        <v>1335</v>
      </c>
      <c r="B625" s="234">
        <v>1</v>
      </c>
      <c r="C625" s="236" t="s">
        <v>1288</v>
      </c>
      <c r="D625" s="234" t="s">
        <v>35</v>
      </c>
      <c r="E625" s="234" t="s">
        <v>35</v>
      </c>
      <c r="F625" s="243" t="s">
        <v>1336</v>
      </c>
      <c r="G625" s="244">
        <v>43717</v>
      </c>
      <c r="H625" s="268">
        <f t="shared" si="10"/>
        <v>6</v>
      </c>
      <c r="I625" s="235" t="s">
        <v>2882</v>
      </c>
      <c r="J625" s="234"/>
      <c r="K625" s="234"/>
      <c r="L625" s="234" t="s">
        <v>17</v>
      </c>
      <c r="M625" s="234"/>
      <c r="N625" s="234"/>
    </row>
    <row r="626" spans="1:14">
      <c r="A626" s="286" t="s">
        <v>1170</v>
      </c>
      <c r="B626" s="287">
        <v>1</v>
      </c>
      <c r="C626" s="287" t="s">
        <v>1337</v>
      </c>
      <c r="D626" s="287" t="s">
        <v>1338</v>
      </c>
      <c r="E626" s="287" t="s">
        <v>1339</v>
      </c>
      <c r="F626" s="287" t="s">
        <v>1340</v>
      </c>
      <c r="G626" s="288">
        <v>44656</v>
      </c>
      <c r="H626" s="289">
        <f t="shared" si="10"/>
        <v>3</v>
      </c>
      <c r="I626" s="288" t="s">
        <v>2882</v>
      </c>
      <c r="J626" s="287"/>
      <c r="K626" s="287" t="s">
        <v>2900</v>
      </c>
      <c r="L626" s="287" t="s">
        <v>27</v>
      </c>
      <c r="M626" s="287"/>
      <c r="N626" s="287"/>
    </row>
    <row r="627" spans="1:14">
      <c r="A627" s="286" t="s">
        <v>1170</v>
      </c>
      <c r="B627" s="287">
        <v>1</v>
      </c>
      <c r="C627" s="287" t="s">
        <v>1337</v>
      </c>
      <c r="D627" s="287" t="s">
        <v>1338</v>
      </c>
      <c r="E627" s="287" t="s">
        <v>1341</v>
      </c>
      <c r="F627" s="287" t="s">
        <v>1342</v>
      </c>
      <c r="G627" s="288">
        <v>44656</v>
      </c>
      <c r="H627" s="289">
        <f t="shared" si="10"/>
        <v>3</v>
      </c>
      <c r="I627" s="288" t="s">
        <v>2882</v>
      </c>
      <c r="J627" s="287"/>
      <c r="K627" s="287" t="s">
        <v>1222</v>
      </c>
      <c r="L627" s="287" t="s">
        <v>27</v>
      </c>
      <c r="M627" s="287"/>
      <c r="N627" s="287"/>
    </row>
    <row r="628" spans="1:14">
      <c r="A628" s="286" t="s">
        <v>1170</v>
      </c>
      <c r="B628" s="287">
        <v>1</v>
      </c>
      <c r="C628" s="287" t="s">
        <v>1337</v>
      </c>
      <c r="D628" s="287" t="s">
        <v>1338</v>
      </c>
      <c r="E628" s="287" t="s">
        <v>1343</v>
      </c>
      <c r="F628" s="287" t="s">
        <v>1344</v>
      </c>
      <c r="G628" s="288">
        <v>44656</v>
      </c>
      <c r="H628" s="289">
        <f t="shared" si="10"/>
        <v>3</v>
      </c>
      <c r="I628" s="288" t="s">
        <v>2882</v>
      </c>
      <c r="J628" s="287"/>
      <c r="K628" s="287" t="s">
        <v>2900</v>
      </c>
      <c r="L628" s="287" t="s">
        <v>27</v>
      </c>
      <c r="M628" s="287"/>
      <c r="N628" s="287"/>
    </row>
    <row r="629" spans="1:14">
      <c r="A629" s="286" t="s">
        <v>1170</v>
      </c>
      <c r="B629" s="287">
        <v>1</v>
      </c>
      <c r="C629" s="287" t="s">
        <v>1337</v>
      </c>
      <c r="D629" s="287" t="s">
        <v>1338</v>
      </c>
      <c r="E629" s="287" t="s">
        <v>1345</v>
      </c>
      <c r="F629" s="287" t="s">
        <v>1346</v>
      </c>
      <c r="G629" s="288">
        <v>44656</v>
      </c>
      <c r="H629" s="289">
        <f t="shared" si="10"/>
        <v>3</v>
      </c>
      <c r="I629" s="288" t="s">
        <v>2882</v>
      </c>
      <c r="J629" s="287"/>
      <c r="K629" s="287" t="s">
        <v>2900</v>
      </c>
      <c r="L629" s="287" t="s">
        <v>27</v>
      </c>
      <c r="M629" s="287"/>
      <c r="N629" s="287"/>
    </row>
    <row r="630" spans="1:14">
      <c r="A630" s="305" t="s">
        <v>1347</v>
      </c>
      <c r="B630" s="304">
        <v>1</v>
      </c>
      <c r="C630" s="305" t="s">
        <v>1348</v>
      </c>
      <c r="D630" s="304" t="s">
        <v>1349</v>
      </c>
      <c r="E630" s="304"/>
      <c r="F630" s="262" t="s">
        <v>1350</v>
      </c>
      <c r="G630" s="306">
        <v>43971</v>
      </c>
      <c r="H630" s="307">
        <f t="shared" si="10"/>
        <v>5</v>
      </c>
      <c r="I630" s="308" t="s">
        <v>2882</v>
      </c>
      <c r="J630" s="304"/>
      <c r="K630" s="304" t="s">
        <v>2967</v>
      </c>
      <c r="L630" s="304" t="s">
        <v>2960</v>
      </c>
      <c r="M630" s="304" t="s">
        <v>2936</v>
      </c>
      <c r="N630" s="304" t="s">
        <v>1351</v>
      </c>
    </row>
    <row r="631" spans="1:14">
      <c r="A631" s="236" t="s">
        <v>1347</v>
      </c>
      <c r="B631" s="234">
        <v>1</v>
      </c>
      <c r="C631" s="236" t="s">
        <v>1352</v>
      </c>
      <c r="D631" s="234" t="s">
        <v>1353</v>
      </c>
      <c r="E631" s="234" t="s">
        <v>1354</v>
      </c>
      <c r="F631" s="243" t="s">
        <v>1355</v>
      </c>
      <c r="G631" s="244">
        <v>45481</v>
      </c>
      <c r="H631" s="268">
        <f t="shared" si="10"/>
        <v>1</v>
      </c>
      <c r="I631" s="235" t="s">
        <v>2882</v>
      </c>
      <c r="J631" s="234"/>
      <c r="K631" s="234" t="s">
        <v>2887</v>
      </c>
      <c r="L631" s="234" t="s">
        <v>17</v>
      </c>
      <c r="M631" s="234"/>
      <c r="N631" s="234"/>
    </row>
    <row r="632" spans="1:14">
      <c r="A632" s="287" t="s">
        <v>295</v>
      </c>
      <c r="B632" s="287">
        <v>1</v>
      </c>
      <c r="C632" s="287" t="s">
        <v>131</v>
      </c>
      <c r="D632" s="287" t="s">
        <v>296</v>
      </c>
      <c r="E632" s="294" t="s">
        <v>309</v>
      </c>
      <c r="F632" s="287" t="s">
        <v>1356</v>
      </c>
      <c r="G632" s="281">
        <v>44257</v>
      </c>
      <c r="H632" s="289">
        <f t="shared" si="10"/>
        <v>4</v>
      </c>
      <c r="I632" s="287" t="s">
        <v>2882</v>
      </c>
      <c r="J632" s="287"/>
      <c r="K632" s="287"/>
      <c r="L632" s="287" t="s">
        <v>27</v>
      </c>
      <c r="M632" s="287"/>
      <c r="N632" s="287"/>
    </row>
    <row r="633" spans="1:14">
      <c r="A633" s="287" t="s">
        <v>295</v>
      </c>
      <c r="B633" s="287">
        <v>1</v>
      </c>
      <c r="C633" s="287" t="s">
        <v>131</v>
      </c>
      <c r="D633" s="287" t="s">
        <v>296</v>
      </c>
      <c r="E633" s="294" t="s">
        <v>297</v>
      </c>
      <c r="F633" s="287" t="s">
        <v>300</v>
      </c>
      <c r="G633" s="281">
        <v>44257</v>
      </c>
      <c r="H633" s="289">
        <f t="shared" si="10"/>
        <v>4</v>
      </c>
      <c r="I633" s="287" t="s">
        <v>2882</v>
      </c>
      <c r="J633" s="287"/>
      <c r="K633" s="287"/>
      <c r="L633" s="287" t="s">
        <v>27</v>
      </c>
      <c r="M633" s="287"/>
      <c r="N633" s="287"/>
    </row>
    <row r="634" spans="1:14">
      <c r="A634" s="236" t="s">
        <v>1357</v>
      </c>
      <c r="B634" s="234">
        <v>1</v>
      </c>
      <c r="C634" s="236" t="s">
        <v>1043</v>
      </c>
      <c r="D634" s="234" t="s">
        <v>1358</v>
      </c>
      <c r="E634" s="234"/>
      <c r="F634" s="243" t="s">
        <v>1359</v>
      </c>
      <c r="G634" s="334">
        <v>43971</v>
      </c>
      <c r="H634" s="268">
        <f t="shared" si="10"/>
        <v>5</v>
      </c>
      <c r="I634" s="235" t="s">
        <v>2882</v>
      </c>
      <c r="J634" s="234"/>
      <c r="K634" s="234" t="s">
        <v>2887</v>
      </c>
      <c r="L634" s="234" t="s">
        <v>17</v>
      </c>
      <c r="M634" s="234"/>
      <c r="N634" s="234"/>
    </row>
    <row r="635" spans="1:14">
      <c r="A635" s="287" t="s">
        <v>1360</v>
      </c>
      <c r="B635" s="287">
        <v>1</v>
      </c>
      <c r="C635" s="287" t="s">
        <v>1288</v>
      </c>
      <c r="D635" s="287" t="s">
        <v>1361</v>
      </c>
      <c r="E635" s="287" t="s">
        <v>35</v>
      </c>
      <c r="F635" s="287" t="s">
        <v>1362</v>
      </c>
      <c r="G635" s="288">
        <v>43971</v>
      </c>
      <c r="H635" s="289">
        <f t="shared" si="10"/>
        <v>5</v>
      </c>
      <c r="I635" s="287" t="s">
        <v>2882</v>
      </c>
      <c r="J635" s="287"/>
      <c r="K635" s="287" t="s">
        <v>2942</v>
      </c>
      <c r="L635" s="287" t="s">
        <v>27</v>
      </c>
      <c r="M635" s="287" t="s">
        <v>27</v>
      </c>
      <c r="N635" s="287"/>
    </row>
    <row r="636" spans="1:14">
      <c r="A636" s="287" t="s">
        <v>1360</v>
      </c>
      <c r="B636" s="287">
        <v>1</v>
      </c>
      <c r="C636" s="287" t="s">
        <v>1288</v>
      </c>
      <c r="D636" s="287" t="s">
        <v>1361</v>
      </c>
      <c r="E636" s="287" t="s">
        <v>35</v>
      </c>
      <c r="F636" s="287" t="s">
        <v>1363</v>
      </c>
      <c r="G636" s="288">
        <v>43971</v>
      </c>
      <c r="H636" s="289">
        <f t="shared" si="10"/>
        <v>5</v>
      </c>
      <c r="I636" s="287" t="s">
        <v>2882</v>
      </c>
      <c r="J636" s="287"/>
      <c r="K636" s="300" t="s">
        <v>2887</v>
      </c>
      <c r="L636" s="287" t="s">
        <v>27</v>
      </c>
      <c r="M636" s="301" t="s">
        <v>27</v>
      </c>
      <c r="N636" s="287"/>
    </row>
    <row r="637" spans="1:14">
      <c r="A637" s="236" t="s">
        <v>1364</v>
      </c>
      <c r="B637" s="234">
        <v>1</v>
      </c>
      <c r="C637" s="236" t="s">
        <v>1365</v>
      </c>
      <c r="D637" s="234" t="s">
        <v>1366</v>
      </c>
      <c r="E637" s="234" t="s">
        <v>35</v>
      </c>
      <c r="F637" s="243" t="s">
        <v>1367</v>
      </c>
      <c r="G637" s="334">
        <v>43971</v>
      </c>
      <c r="H637" s="268">
        <f t="shared" si="10"/>
        <v>5</v>
      </c>
      <c r="I637" s="235" t="s">
        <v>2882</v>
      </c>
      <c r="J637" s="234"/>
      <c r="K637" s="234" t="s">
        <v>2902</v>
      </c>
      <c r="L637" s="234" t="s">
        <v>17</v>
      </c>
      <c r="M637" s="234"/>
      <c r="N637" s="234"/>
    </row>
    <row r="638" spans="1:14">
      <c r="A638" s="287" t="s">
        <v>1368</v>
      </c>
      <c r="B638" s="287">
        <v>1</v>
      </c>
      <c r="C638" s="287"/>
      <c r="D638" s="287"/>
      <c r="E638" s="287"/>
      <c r="F638" s="287" t="s">
        <v>1369</v>
      </c>
      <c r="G638" s="288">
        <v>44656</v>
      </c>
      <c r="H638" s="295">
        <f t="shared" si="10"/>
        <v>3</v>
      </c>
      <c r="I638" s="287" t="s">
        <v>2882</v>
      </c>
      <c r="J638" s="287"/>
      <c r="K638" s="296" t="s">
        <v>2884</v>
      </c>
      <c r="L638" s="296" t="s">
        <v>27</v>
      </c>
      <c r="M638" s="296" t="s">
        <v>27</v>
      </c>
      <c r="N638" s="287"/>
    </row>
    <row r="639" spans="1:14">
      <c r="A639" s="287" t="s">
        <v>1368</v>
      </c>
      <c r="B639" s="287">
        <v>1</v>
      </c>
      <c r="C639" s="287"/>
      <c r="D639" s="287"/>
      <c r="E639" s="287"/>
      <c r="F639" s="287" t="s">
        <v>1370</v>
      </c>
      <c r="G639" s="288">
        <v>44656</v>
      </c>
      <c r="H639" s="289">
        <f t="shared" si="10"/>
        <v>3</v>
      </c>
      <c r="I639" s="287" t="s">
        <v>2882</v>
      </c>
      <c r="J639" s="287"/>
      <c r="K639" s="296" t="s">
        <v>2884</v>
      </c>
      <c r="L639" s="296" t="s">
        <v>27</v>
      </c>
      <c r="M639" s="296" t="s">
        <v>27</v>
      </c>
      <c r="N639" s="287"/>
    </row>
    <row r="640" spans="1:14">
      <c r="A640" s="236" t="s">
        <v>1371</v>
      </c>
      <c r="B640" s="234">
        <v>1</v>
      </c>
      <c r="C640" s="236" t="s">
        <v>15</v>
      </c>
      <c r="D640" s="234" t="s">
        <v>15</v>
      </c>
      <c r="E640" s="234" t="s">
        <v>15</v>
      </c>
      <c r="F640" s="243" t="s">
        <v>1372</v>
      </c>
      <c r="G640" s="334">
        <v>44656</v>
      </c>
      <c r="H640" s="268">
        <f t="shared" si="10"/>
        <v>3</v>
      </c>
      <c r="I640" s="235" t="s">
        <v>2882</v>
      </c>
      <c r="J640" s="234"/>
      <c r="K640" s="234" t="s">
        <v>2887</v>
      </c>
      <c r="L640" s="234" t="s">
        <v>17</v>
      </c>
      <c r="M640" s="234" t="s">
        <v>27</v>
      </c>
      <c r="N640" s="234"/>
    </row>
    <row r="641" spans="1:14">
      <c r="A641" s="236" t="s">
        <v>1373</v>
      </c>
      <c r="B641" s="234">
        <v>1</v>
      </c>
      <c r="C641" s="236" t="s">
        <v>15</v>
      </c>
      <c r="D641" s="234" t="s">
        <v>15</v>
      </c>
      <c r="E641" s="234" t="s">
        <v>15</v>
      </c>
      <c r="F641" s="243" t="s">
        <v>1374</v>
      </c>
      <c r="G641" s="334">
        <v>44656</v>
      </c>
      <c r="H641" s="268">
        <f t="shared" si="10"/>
        <v>3</v>
      </c>
      <c r="I641" s="235" t="s">
        <v>2882</v>
      </c>
      <c r="J641" s="234"/>
      <c r="K641" s="234" t="s">
        <v>2887</v>
      </c>
      <c r="L641" s="234" t="s">
        <v>17</v>
      </c>
      <c r="M641" s="234" t="s">
        <v>27</v>
      </c>
      <c r="N641" s="234"/>
    </row>
    <row r="642" spans="1:14">
      <c r="A642" s="335" t="s">
        <v>1375</v>
      </c>
      <c r="B642" s="196">
        <v>1</v>
      </c>
      <c r="C642" s="196" t="s">
        <v>1376</v>
      </c>
      <c r="D642" s="196" t="s">
        <v>1377</v>
      </c>
      <c r="E642" s="196" t="s">
        <v>1378</v>
      </c>
      <c r="F642" s="336" t="s">
        <v>1379</v>
      </c>
      <c r="G642" s="232">
        <v>44713</v>
      </c>
      <c r="H642" s="269">
        <f t="shared" si="10"/>
        <v>3</v>
      </c>
      <c r="I642" s="196" t="s">
        <v>2882</v>
      </c>
      <c r="J642" s="196"/>
      <c r="K642" s="196"/>
      <c r="L642" s="196"/>
      <c r="M642" s="196"/>
      <c r="N642" s="196" t="s">
        <v>15</v>
      </c>
    </row>
    <row r="643" spans="1:14">
      <c r="A643" s="335" t="s">
        <v>1375</v>
      </c>
      <c r="B643" s="196">
        <v>1</v>
      </c>
      <c r="C643" s="196" t="s">
        <v>1376</v>
      </c>
      <c r="D643" s="196" t="s">
        <v>1377</v>
      </c>
      <c r="E643" s="196" t="s">
        <v>1380</v>
      </c>
      <c r="F643" s="336" t="s">
        <v>1381</v>
      </c>
      <c r="G643" s="232">
        <v>44713</v>
      </c>
      <c r="H643" s="269">
        <f t="shared" si="10"/>
        <v>3</v>
      </c>
      <c r="I643" s="196" t="s">
        <v>2882</v>
      </c>
      <c r="J643" s="196"/>
      <c r="K643" s="196"/>
      <c r="L643" s="196"/>
      <c r="M643" s="196"/>
      <c r="N643" s="196" t="s">
        <v>15</v>
      </c>
    </row>
    <row r="644" spans="1:14">
      <c r="A644" s="335" t="s">
        <v>1375</v>
      </c>
      <c r="B644" s="196">
        <v>1</v>
      </c>
      <c r="C644" s="196" t="s">
        <v>1376</v>
      </c>
      <c r="D644" s="196" t="s">
        <v>1377</v>
      </c>
      <c r="E644" s="196" t="s">
        <v>1382</v>
      </c>
      <c r="F644" s="336" t="s">
        <v>1383</v>
      </c>
      <c r="G644" s="232">
        <v>44713</v>
      </c>
      <c r="H644" s="269">
        <f t="shared" si="10"/>
        <v>3</v>
      </c>
      <c r="I644" s="196" t="s">
        <v>2882</v>
      </c>
      <c r="J644" s="196"/>
      <c r="K644" s="196"/>
      <c r="L644" s="196"/>
      <c r="M644" s="196"/>
      <c r="N644" s="196" t="s">
        <v>15</v>
      </c>
    </row>
    <row r="645" spans="1:14">
      <c r="A645" s="335" t="s">
        <v>1375</v>
      </c>
      <c r="B645" s="196">
        <v>1</v>
      </c>
      <c r="C645" s="196" t="s">
        <v>1376</v>
      </c>
      <c r="D645" s="196" t="s">
        <v>1377</v>
      </c>
      <c r="E645" s="196" t="s">
        <v>1384</v>
      </c>
      <c r="F645" s="336" t="s">
        <v>1385</v>
      </c>
      <c r="G645" s="232">
        <v>44713</v>
      </c>
      <c r="H645" s="269">
        <f t="shared" si="10"/>
        <v>3</v>
      </c>
      <c r="I645" s="196" t="s">
        <v>2882</v>
      </c>
      <c r="J645" s="196"/>
      <c r="K645" s="196"/>
      <c r="L645" s="196"/>
      <c r="M645" s="196"/>
      <c r="N645" s="196" t="s">
        <v>15</v>
      </c>
    </row>
    <row r="646" spans="1:14">
      <c r="A646" s="335" t="s">
        <v>1375</v>
      </c>
      <c r="B646" s="196">
        <v>1</v>
      </c>
      <c r="C646" s="196" t="s">
        <v>1376</v>
      </c>
      <c r="D646" s="196" t="s">
        <v>1377</v>
      </c>
      <c r="E646" s="196" t="s">
        <v>1386</v>
      </c>
      <c r="F646" s="336" t="s">
        <v>1387</v>
      </c>
      <c r="G646" s="232">
        <v>44713</v>
      </c>
      <c r="H646" s="269">
        <f t="shared" si="10"/>
        <v>3</v>
      </c>
      <c r="I646" s="196" t="s">
        <v>2882</v>
      </c>
      <c r="J646" s="196"/>
      <c r="K646" s="196"/>
      <c r="L646" s="196"/>
      <c r="M646" s="196"/>
      <c r="N646" s="196" t="s">
        <v>15</v>
      </c>
    </row>
    <row r="647" spans="1:14">
      <c r="A647" s="335" t="s">
        <v>1375</v>
      </c>
      <c r="B647" s="196">
        <v>1</v>
      </c>
      <c r="C647" s="196" t="s">
        <v>1376</v>
      </c>
      <c r="D647" s="196" t="s">
        <v>1377</v>
      </c>
      <c r="E647" s="196" t="s">
        <v>1388</v>
      </c>
      <c r="F647" s="336" t="s">
        <v>1389</v>
      </c>
      <c r="G647" s="232">
        <v>44713</v>
      </c>
      <c r="H647" s="269">
        <f t="shared" si="10"/>
        <v>3</v>
      </c>
      <c r="I647" s="196" t="s">
        <v>2882</v>
      </c>
      <c r="J647" s="196"/>
      <c r="K647" s="196"/>
      <c r="L647" s="196"/>
      <c r="M647" s="196"/>
      <c r="N647" s="196" t="s">
        <v>15</v>
      </c>
    </row>
    <row r="648" spans="1:14">
      <c r="A648" s="335" t="s">
        <v>1375</v>
      </c>
      <c r="B648" s="196">
        <v>1</v>
      </c>
      <c r="C648" s="196" t="s">
        <v>1376</v>
      </c>
      <c r="D648" s="196" t="s">
        <v>1377</v>
      </c>
      <c r="E648" s="196" t="s">
        <v>1390</v>
      </c>
      <c r="F648" s="336" t="s">
        <v>1391</v>
      </c>
      <c r="G648" s="232">
        <v>44713</v>
      </c>
      <c r="H648" s="269">
        <f t="shared" si="10"/>
        <v>3</v>
      </c>
      <c r="I648" s="196" t="s">
        <v>2882</v>
      </c>
      <c r="J648" s="196"/>
      <c r="K648" s="196"/>
      <c r="L648" s="196"/>
      <c r="M648" s="196"/>
      <c r="N648" s="196" t="s">
        <v>15</v>
      </c>
    </row>
    <row r="649" spans="1:14">
      <c r="A649" s="335" t="s">
        <v>1375</v>
      </c>
      <c r="B649" s="196">
        <v>1</v>
      </c>
      <c r="C649" s="196" t="s">
        <v>1376</v>
      </c>
      <c r="D649" s="196" t="s">
        <v>1392</v>
      </c>
      <c r="E649" s="196" t="s">
        <v>1393</v>
      </c>
      <c r="F649" s="336" t="s">
        <v>1394</v>
      </c>
      <c r="G649" s="232">
        <v>44713</v>
      </c>
      <c r="H649" s="269">
        <f t="shared" si="10"/>
        <v>3</v>
      </c>
      <c r="I649" s="196" t="s">
        <v>2882</v>
      </c>
      <c r="J649" s="196"/>
      <c r="K649" s="196"/>
      <c r="L649" s="196"/>
      <c r="M649" s="196"/>
      <c r="N649" s="196" t="s">
        <v>1395</v>
      </c>
    </row>
    <row r="650" spans="1:14">
      <c r="A650" s="335" t="s">
        <v>1375</v>
      </c>
      <c r="B650" s="196">
        <v>1</v>
      </c>
      <c r="C650" s="196" t="s">
        <v>1376</v>
      </c>
      <c r="D650" s="196" t="s">
        <v>1392</v>
      </c>
      <c r="E650" s="196" t="s">
        <v>1396</v>
      </c>
      <c r="F650" s="336" t="s">
        <v>1397</v>
      </c>
      <c r="G650" s="232">
        <v>44713</v>
      </c>
      <c r="H650" s="269">
        <f t="shared" si="10"/>
        <v>3</v>
      </c>
      <c r="I650" s="196" t="s">
        <v>2882</v>
      </c>
      <c r="J650" s="196"/>
      <c r="K650" s="196"/>
      <c r="L650" s="196"/>
      <c r="M650" s="196"/>
      <c r="N650" s="196" t="s">
        <v>15</v>
      </c>
    </row>
    <row r="651" spans="1:14">
      <c r="A651" s="335" t="s">
        <v>1375</v>
      </c>
      <c r="B651" s="196">
        <v>1</v>
      </c>
      <c r="C651" s="196" t="s">
        <v>1376</v>
      </c>
      <c r="D651" s="196" t="s">
        <v>1392</v>
      </c>
      <c r="E651" s="196" t="s">
        <v>1398</v>
      </c>
      <c r="F651" s="336" t="s">
        <v>1399</v>
      </c>
      <c r="G651" s="232">
        <v>44713</v>
      </c>
      <c r="H651" s="269">
        <f t="shared" si="10"/>
        <v>3</v>
      </c>
      <c r="I651" s="196" t="s">
        <v>2882</v>
      </c>
      <c r="J651" s="196"/>
      <c r="K651" s="196"/>
      <c r="L651" s="196"/>
      <c r="M651" s="196"/>
      <c r="N651" s="196" t="s">
        <v>1395</v>
      </c>
    </row>
    <row r="652" spans="1:14">
      <c r="A652" s="335" t="s">
        <v>1375</v>
      </c>
      <c r="B652" s="196">
        <v>1</v>
      </c>
      <c r="C652" s="196" t="s">
        <v>1376</v>
      </c>
      <c r="D652" s="196" t="s">
        <v>1392</v>
      </c>
      <c r="E652" s="196" t="s">
        <v>1400</v>
      </c>
      <c r="F652" s="336" t="s">
        <v>1401</v>
      </c>
      <c r="G652" s="232">
        <v>44713</v>
      </c>
      <c r="H652" s="269">
        <f t="shared" si="10"/>
        <v>3</v>
      </c>
      <c r="I652" s="196" t="s">
        <v>2882</v>
      </c>
      <c r="J652" s="196"/>
      <c r="K652" s="196"/>
      <c r="L652" s="196"/>
      <c r="M652" s="196"/>
      <c r="N652" s="196" t="s">
        <v>15</v>
      </c>
    </row>
    <row r="653" spans="1:14">
      <c r="A653" s="335" t="s">
        <v>1375</v>
      </c>
      <c r="B653" s="196">
        <v>1</v>
      </c>
      <c r="C653" s="196" t="s">
        <v>1376</v>
      </c>
      <c r="D653" s="196" t="s">
        <v>1402</v>
      </c>
      <c r="E653" s="196" t="s">
        <v>1403</v>
      </c>
      <c r="F653" s="336" t="s">
        <v>1404</v>
      </c>
      <c r="G653" s="232">
        <v>45078</v>
      </c>
      <c r="H653" s="269">
        <f t="shared" si="10"/>
        <v>2</v>
      </c>
      <c r="I653" s="196" t="s">
        <v>2882</v>
      </c>
      <c r="J653" s="196"/>
      <c r="K653" s="196"/>
      <c r="L653" s="196"/>
      <c r="M653" s="196"/>
      <c r="N653" s="196" t="s">
        <v>15</v>
      </c>
    </row>
    <row r="654" spans="1:14">
      <c r="A654" s="335" t="s">
        <v>1375</v>
      </c>
      <c r="B654" s="196">
        <v>1</v>
      </c>
      <c r="C654" s="196" t="s">
        <v>1376</v>
      </c>
      <c r="D654" s="196" t="s">
        <v>1402</v>
      </c>
      <c r="E654" s="196" t="s">
        <v>1405</v>
      </c>
      <c r="F654" s="336" t="s">
        <v>1406</v>
      </c>
      <c r="G654" s="232">
        <v>45078</v>
      </c>
      <c r="H654" s="269">
        <f t="shared" ref="H654:H672" si="11">ABS(YEAR(G654)-2025)</f>
        <v>2</v>
      </c>
      <c r="I654" s="196" t="s">
        <v>2882</v>
      </c>
      <c r="J654" s="196"/>
      <c r="K654" s="196"/>
      <c r="L654" s="196"/>
      <c r="M654" s="196"/>
      <c r="N654" s="196" t="s">
        <v>15</v>
      </c>
    </row>
    <row r="655" spans="1:14">
      <c r="A655" s="335" t="s">
        <v>1375</v>
      </c>
      <c r="B655" s="196">
        <v>1</v>
      </c>
      <c r="C655" s="196" t="s">
        <v>1376</v>
      </c>
      <c r="D655" s="196" t="s">
        <v>1402</v>
      </c>
      <c r="E655" s="196" t="s">
        <v>1407</v>
      </c>
      <c r="F655" s="336" t="s">
        <v>1408</v>
      </c>
      <c r="G655" s="232">
        <v>45078</v>
      </c>
      <c r="H655" s="269">
        <f t="shared" si="11"/>
        <v>2</v>
      </c>
      <c r="I655" s="196" t="s">
        <v>2882</v>
      </c>
      <c r="J655" s="196"/>
      <c r="K655" s="196"/>
      <c r="L655" s="196"/>
      <c r="M655" s="196"/>
      <c r="N655" s="196" t="s">
        <v>15</v>
      </c>
    </row>
    <row r="656" spans="1:14">
      <c r="A656" s="335" t="s">
        <v>1375</v>
      </c>
      <c r="B656" s="196">
        <v>1</v>
      </c>
      <c r="C656" s="196" t="s">
        <v>1376</v>
      </c>
      <c r="D656" s="196" t="s">
        <v>1402</v>
      </c>
      <c r="E656" s="196" t="s">
        <v>1409</v>
      </c>
      <c r="F656" s="336" t="s">
        <v>1410</v>
      </c>
      <c r="G656" s="232">
        <v>45078</v>
      </c>
      <c r="H656" s="269">
        <f t="shared" si="11"/>
        <v>2</v>
      </c>
      <c r="I656" s="196" t="s">
        <v>2882</v>
      </c>
      <c r="J656" s="196"/>
      <c r="K656" s="196"/>
      <c r="L656" s="196"/>
      <c r="M656" s="196"/>
      <c r="N656" s="196" t="s">
        <v>15</v>
      </c>
    </row>
    <row r="657" spans="1:14">
      <c r="A657" s="335" t="s">
        <v>1375</v>
      </c>
      <c r="B657" s="196">
        <v>1</v>
      </c>
      <c r="C657" s="196" t="s">
        <v>1376</v>
      </c>
      <c r="D657" s="196" t="s">
        <v>1402</v>
      </c>
      <c r="E657" s="196" t="s">
        <v>1411</v>
      </c>
      <c r="F657" s="336" t="s">
        <v>1412</v>
      </c>
      <c r="G657" s="232">
        <v>45078</v>
      </c>
      <c r="H657" s="269">
        <f t="shared" si="11"/>
        <v>2</v>
      </c>
      <c r="I657" s="196" t="s">
        <v>2882</v>
      </c>
      <c r="J657" s="196"/>
      <c r="K657" s="196"/>
      <c r="L657" s="196"/>
      <c r="M657" s="196"/>
      <c r="N657" s="196" t="s">
        <v>15</v>
      </c>
    </row>
    <row r="658" spans="1:14">
      <c r="A658" s="335" t="s">
        <v>1375</v>
      </c>
      <c r="B658" s="196">
        <v>1</v>
      </c>
      <c r="C658" s="196" t="s">
        <v>1376</v>
      </c>
      <c r="D658" s="196" t="s">
        <v>1402</v>
      </c>
      <c r="E658" s="196" t="s">
        <v>1413</v>
      </c>
      <c r="F658" s="336" t="s">
        <v>1414</v>
      </c>
      <c r="G658" s="232">
        <v>45078</v>
      </c>
      <c r="H658" s="269">
        <f t="shared" si="11"/>
        <v>2</v>
      </c>
      <c r="I658" s="196" t="s">
        <v>2882</v>
      </c>
      <c r="J658" s="196"/>
      <c r="K658" s="196"/>
      <c r="L658" s="196"/>
      <c r="M658" s="196"/>
      <c r="N658" s="196" t="s">
        <v>15</v>
      </c>
    </row>
    <row r="659" spans="1:14">
      <c r="A659" s="335" t="s">
        <v>1375</v>
      </c>
      <c r="B659" s="196">
        <v>1</v>
      </c>
      <c r="C659" s="196" t="s">
        <v>1376</v>
      </c>
      <c r="D659" s="196" t="s">
        <v>1402</v>
      </c>
      <c r="E659" s="196" t="s">
        <v>1415</v>
      </c>
      <c r="F659" s="336" t="s">
        <v>1416</v>
      </c>
      <c r="G659" s="232">
        <v>45078</v>
      </c>
      <c r="H659" s="269">
        <f t="shared" si="11"/>
        <v>2</v>
      </c>
      <c r="I659" s="196" t="s">
        <v>2882</v>
      </c>
      <c r="J659" s="196"/>
      <c r="K659" s="196"/>
      <c r="L659" s="196"/>
      <c r="M659" s="196"/>
      <c r="N659" s="196" t="s">
        <v>15</v>
      </c>
    </row>
    <row r="660" spans="1:14">
      <c r="A660" s="335" t="s">
        <v>1375</v>
      </c>
      <c r="B660" s="196">
        <v>1</v>
      </c>
      <c r="C660" s="196" t="s">
        <v>1376</v>
      </c>
      <c r="D660" s="196" t="s">
        <v>1402</v>
      </c>
      <c r="E660" s="196" t="s">
        <v>1417</v>
      </c>
      <c r="F660" s="336" t="s">
        <v>1418</v>
      </c>
      <c r="G660" s="232">
        <v>45078</v>
      </c>
      <c r="H660" s="269">
        <f t="shared" si="11"/>
        <v>2</v>
      </c>
      <c r="I660" s="196" t="s">
        <v>2882</v>
      </c>
      <c r="J660" s="196"/>
      <c r="K660" s="196"/>
      <c r="L660" s="196"/>
      <c r="M660" s="196"/>
      <c r="N660" s="196" t="s">
        <v>15</v>
      </c>
    </row>
    <row r="661" spans="1:14">
      <c r="A661" s="335" t="s">
        <v>1375</v>
      </c>
      <c r="B661" s="196">
        <v>1</v>
      </c>
      <c r="C661" s="196" t="s">
        <v>1673</v>
      </c>
      <c r="D661" s="196" t="s">
        <v>2322</v>
      </c>
      <c r="E661" s="196" t="s">
        <v>2326</v>
      </c>
      <c r="F661" s="336" t="s">
        <v>2323</v>
      </c>
      <c r="G661" s="337">
        <v>45946</v>
      </c>
      <c r="H661" s="269">
        <f t="shared" si="11"/>
        <v>0</v>
      </c>
      <c r="I661" s="337" t="s">
        <v>2882</v>
      </c>
      <c r="J661" s="196"/>
      <c r="K661" s="196"/>
      <c r="L661" s="196"/>
      <c r="M661" s="196"/>
      <c r="N661" s="196"/>
    </row>
    <row r="662" spans="1:14">
      <c r="A662" s="335" t="s">
        <v>1375</v>
      </c>
      <c r="B662" s="196">
        <v>1</v>
      </c>
      <c r="C662" s="196" t="s">
        <v>1673</v>
      </c>
      <c r="D662" s="196" t="s">
        <v>2322</v>
      </c>
      <c r="E662" s="196" t="s">
        <v>2325</v>
      </c>
      <c r="F662" s="336" t="s">
        <v>2324</v>
      </c>
      <c r="G662" s="337">
        <v>45946</v>
      </c>
      <c r="H662" s="269">
        <f t="shared" si="11"/>
        <v>0</v>
      </c>
      <c r="I662" s="337" t="s">
        <v>2882</v>
      </c>
      <c r="J662" s="196"/>
      <c r="K662" s="196"/>
      <c r="L662" s="196"/>
      <c r="M662" s="196"/>
      <c r="N662" s="196"/>
    </row>
    <row r="663" spans="1:14">
      <c r="A663" s="335" t="s">
        <v>1375</v>
      </c>
      <c r="B663" s="196">
        <v>1</v>
      </c>
      <c r="C663" s="196" t="s">
        <v>1673</v>
      </c>
      <c r="D663" s="196" t="s">
        <v>2322</v>
      </c>
      <c r="E663" s="196"/>
      <c r="F663" s="336" t="s">
        <v>2327</v>
      </c>
      <c r="G663" s="337">
        <v>45946</v>
      </c>
      <c r="H663" s="269">
        <f t="shared" si="11"/>
        <v>0</v>
      </c>
      <c r="I663" s="337" t="s">
        <v>2882</v>
      </c>
      <c r="J663" s="196"/>
      <c r="K663" s="196"/>
      <c r="L663" s="196"/>
      <c r="M663" s="196"/>
      <c r="N663" s="196" t="s">
        <v>2328</v>
      </c>
    </row>
    <row r="664" spans="1:14">
      <c r="A664" s="236" t="s">
        <v>2162</v>
      </c>
      <c r="B664" s="234">
        <v>1</v>
      </c>
      <c r="C664" s="236" t="s">
        <v>1853</v>
      </c>
      <c r="D664" s="234" t="s">
        <v>2163</v>
      </c>
      <c r="E664" s="234" t="s">
        <v>35</v>
      </c>
      <c r="F664" s="243" t="s">
        <v>2164</v>
      </c>
      <c r="G664" s="244">
        <v>45741</v>
      </c>
      <c r="H664" s="268">
        <f t="shared" si="11"/>
        <v>0</v>
      </c>
      <c r="I664" s="235" t="s">
        <v>2882</v>
      </c>
      <c r="J664" s="234"/>
      <c r="K664" s="234" t="s">
        <v>1162</v>
      </c>
      <c r="L664" s="234" t="s">
        <v>17</v>
      </c>
      <c r="M664" s="234" t="s">
        <v>27</v>
      </c>
      <c r="N664" s="234"/>
    </row>
    <row r="665" spans="1:14">
      <c r="A665" s="311" t="s">
        <v>2996</v>
      </c>
      <c r="B665" s="243">
        <v>1</v>
      </c>
      <c r="C665" s="311" t="s">
        <v>2997</v>
      </c>
      <c r="D665" s="243" t="s">
        <v>2999</v>
      </c>
      <c r="E665" s="243" t="s">
        <v>2998</v>
      </c>
      <c r="F665" s="243" t="s">
        <v>2995</v>
      </c>
      <c r="G665" s="244">
        <v>46057</v>
      </c>
      <c r="H665" s="268">
        <f t="shared" si="11"/>
        <v>1</v>
      </c>
      <c r="I665" s="244" t="s">
        <v>3001</v>
      </c>
      <c r="J665" s="243" t="s">
        <v>3000</v>
      </c>
      <c r="K665" s="243" t="s">
        <v>3002</v>
      </c>
      <c r="L665" s="234" t="s">
        <v>17</v>
      </c>
      <c r="M665" s="234" t="s">
        <v>27</v>
      </c>
      <c r="N665" s="243"/>
    </row>
    <row r="666" spans="1:14">
      <c r="A666" s="311" t="s">
        <v>3003</v>
      </c>
      <c r="B666" s="243">
        <v>1</v>
      </c>
      <c r="C666" s="311" t="s">
        <v>1311</v>
      </c>
      <c r="D666" s="243" t="s">
        <v>3004</v>
      </c>
      <c r="E666" s="243" t="s">
        <v>3005</v>
      </c>
      <c r="F666" s="243" t="s">
        <v>3006</v>
      </c>
      <c r="G666" s="244">
        <v>46062</v>
      </c>
      <c r="H666" s="268">
        <f t="shared" si="11"/>
        <v>1</v>
      </c>
      <c r="I666" s="244" t="s">
        <v>3001</v>
      </c>
      <c r="J666" s="243" t="s">
        <v>151</v>
      </c>
      <c r="K666" s="243" t="s">
        <v>3007</v>
      </c>
      <c r="L666" s="234" t="s">
        <v>17</v>
      </c>
      <c r="M666" s="234" t="s">
        <v>27</v>
      </c>
      <c r="N666" s="243"/>
    </row>
    <row r="667" spans="1:14">
      <c r="A667" s="27" t="s">
        <v>3008</v>
      </c>
      <c r="B667" s="27">
        <v>1</v>
      </c>
      <c r="C667" s="27" t="s">
        <v>15</v>
      </c>
      <c r="D667" s="27" t="s">
        <v>3009</v>
      </c>
      <c r="E667" s="27" t="s">
        <v>35</v>
      </c>
      <c r="F667" s="243" t="s">
        <v>3010</v>
      </c>
      <c r="G667" s="30">
        <v>46149</v>
      </c>
      <c r="H667" s="343">
        <f t="shared" si="11"/>
        <v>1</v>
      </c>
      <c r="I667" s="30" t="s">
        <v>3011</v>
      </c>
      <c r="J667" s="27"/>
      <c r="K667" s="27" t="s">
        <v>78</v>
      </c>
      <c r="L667" s="27"/>
      <c r="M667" s="27"/>
      <c r="N667" s="27"/>
    </row>
    <row r="668" spans="1:14">
      <c r="A668" s="27" t="s">
        <v>3008</v>
      </c>
      <c r="B668" s="27">
        <v>1</v>
      </c>
      <c r="C668" s="27" t="s">
        <v>15</v>
      </c>
      <c r="D668" s="27" t="s">
        <v>3009</v>
      </c>
      <c r="E668" s="27" t="s">
        <v>35</v>
      </c>
      <c r="F668" s="243" t="s">
        <v>3012</v>
      </c>
      <c r="G668" s="30">
        <v>46149</v>
      </c>
      <c r="H668" s="343">
        <f t="shared" si="11"/>
        <v>1</v>
      </c>
      <c r="I668" s="30" t="s">
        <v>3011</v>
      </c>
      <c r="J668" s="27"/>
      <c r="K668" s="27" t="s">
        <v>1162</v>
      </c>
      <c r="L668" s="27"/>
      <c r="M668" s="27"/>
      <c r="N668" s="27"/>
    </row>
    <row r="669" spans="1:14">
      <c r="A669" s="27" t="s">
        <v>3008</v>
      </c>
      <c r="B669" s="27">
        <v>1</v>
      </c>
      <c r="C669" s="27" t="s">
        <v>15</v>
      </c>
      <c r="D669" s="27" t="s">
        <v>3009</v>
      </c>
      <c r="E669" s="27" t="s">
        <v>35</v>
      </c>
      <c r="F669" s="243" t="s">
        <v>3013</v>
      </c>
      <c r="G669" s="30">
        <v>46149</v>
      </c>
      <c r="H669" s="343">
        <f t="shared" si="11"/>
        <v>1</v>
      </c>
      <c r="I669" s="30" t="s">
        <v>3011</v>
      </c>
      <c r="J669" s="27"/>
      <c r="K669" s="27"/>
      <c r="L669" s="27"/>
      <c r="M669" s="27"/>
      <c r="N669" s="27"/>
    </row>
    <row r="670" spans="1:14">
      <c r="A670" s="27" t="s">
        <v>3008</v>
      </c>
      <c r="B670" s="27">
        <v>1</v>
      </c>
      <c r="C670" s="27" t="s">
        <v>15</v>
      </c>
      <c r="D670" s="27" t="s">
        <v>3009</v>
      </c>
      <c r="E670" s="27" t="s">
        <v>35</v>
      </c>
      <c r="F670" s="243" t="s">
        <v>3014</v>
      </c>
      <c r="G670" s="30">
        <v>46149</v>
      </c>
      <c r="H670" s="343">
        <f t="shared" si="11"/>
        <v>1</v>
      </c>
      <c r="I670" s="30" t="s">
        <v>3011</v>
      </c>
      <c r="J670" s="27"/>
      <c r="K670" s="27"/>
      <c r="L670" s="27"/>
      <c r="M670" s="27"/>
      <c r="N670" s="27"/>
    </row>
    <row r="671" spans="1:14">
      <c r="A671" s="27" t="s">
        <v>3008</v>
      </c>
      <c r="B671" s="27">
        <v>1</v>
      </c>
      <c r="C671" s="27" t="s">
        <v>15</v>
      </c>
      <c r="D671" s="27" t="s">
        <v>3009</v>
      </c>
      <c r="E671" s="27" t="s">
        <v>35</v>
      </c>
      <c r="F671" s="243" t="s">
        <v>3015</v>
      </c>
      <c r="G671" s="30">
        <v>46149</v>
      </c>
      <c r="H671" s="343">
        <f t="shared" si="11"/>
        <v>1</v>
      </c>
      <c r="I671" s="30" t="s">
        <v>3011</v>
      </c>
      <c r="J671" s="27"/>
      <c r="K671" s="27"/>
      <c r="L671" s="27"/>
      <c r="M671" s="27"/>
      <c r="N671" s="27"/>
    </row>
    <row r="672" spans="1:14">
      <c r="A672" s="27" t="s">
        <v>3008</v>
      </c>
      <c r="B672" s="27">
        <v>1</v>
      </c>
      <c r="C672" s="27" t="s">
        <v>15</v>
      </c>
      <c r="D672" s="27" t="s">
        <v>3009</v>
      </c>
      <c r="E672" s="27" t="s">
        <v>35</v>
      </c>
      <c r="F672" s="243" t="s">
        <v>3016</v>
      </c>
      <c r="G672" s="30">
        <v>46149</v>
      </c>
      <c r="H672" s="343">
        <f t="shared" si="11"/>
        <v>1</v>
      </c>
      <c r="I672" s="30" t="s">
        <v>3011</v>
      </c>
      <c r="J672" s="27"/>
      <c r="K672" s="27"/>
      <c r="L672" s="27"/>
      <c r="M672" s="27"/>
      <c r="N672" s="27"/>
    </row>
  </sheetData>
  <conditionalFormatting sqref="E436">
    <cfRule type="duplicateValues" dxfId="22" priority="21"/>
  </conditionalFormatting>
  <conditionalFormatting sqref="E503">
    <cfRule type="duplicateValues" dxfId="21" priority="22"/>
  </conditionalFormatting>
  <conditionalFormatting sqref="F367">
    <cfRule type="duplicateValues" dxfId="20" priority="19"/>
  </conditionalFormatting>
  <conditionalFormatting sqref="F377">
    <cfRule type="duplicateValues" dxfId="19" priority="18"/>
  </conditionalFormatting>
  <conditionalFormatting sqref="F600:F601">
    <cfRule type="duplicateValues" dxfId="18" priority="17"/>
  </conditionalFormatting>
  <conditionalFormatting sqref="F607:F608">
    <cfRule type="duplicateValues" dxfId="17" priority="16"/>
  </conditionalFormatting>
  <conditionalFormatting sqref="F609:F610">
    <cfRule type="duplicateValues" dxfId="16" priority="14"/>
  </conditionalFormatting>
  <conditionalFormatting sqref="F612:F613">
    <cfRule type="duplicateValues" dxfId="15" priority="13"/>
  </conditionalFormatting>
  <conditionalFormatting sqref="F614:F615">
    <cfRule type="duplicateValues" dxfId="14" priority="12"/>
  </conditionalFormatting>
  <conditionalFormatting sqref="F616:F617">
    <cfRule type="duplicateValues" dxfId="13" priority="11"/>
  </conditionalFormatting>
  <conditionalFormatting sqref="F618">
    <cfRule type="duplicateValues" dxfId="12" priority="6"/>
  </conditionalFormatting>
  <conditionalFormatting sqref="F621:F622">
    <cfRule type="duplicateValues" dxfId="11" priority="10"/>
  </conditionalFormatting>
  <conditionalFormatting sqref="F623:F624">
    <cfRule type="duplicateValues" dxfId="10" priority="9"/>
  </conditionalFormatting>
  <conditionalFormatting sqref="F625">
    <cfRule type="duplicateValues" dxfId="9" priority="5"/>
  </conditionalFormatting>
  <conditionalFormatting sqref="F630:F631">
    <cfRule type="duplicateValues" dxfId="8" priority="4"/>
  </conditionalFormatting>
  <conditionalFormatting sqref="F634">
    <cfRule type="duplicateValues" dxfId="7" priority="3"/>
  </conditionalFormatting>
  <conditionalFormatting sqref="F637">
    <cfRule type="duplicateValues" dxfId="6" priority="2"/>
  </conditionalFormatting>
  <conditionalFormatting sqref="F640:F641">
    <cfRule type="duplicateValues" dxfId="5" priority="23"/>
  </conditionalFormatting>
  <conditionalFormatting sqref="F664">
    <cfRule type="duplicateValues" dxfId="4" priority="1"/>
  </conditionalFormatting>
  <conditionalFormatting sqref="F665:F672 F507:F534 F368:F376 F1:F5 F10 F298:F320 F358:F366 F536:F557 F559 F322:F353 F199:F244 F487:F505 F378:F484 F249:F294 F561:F599 F13:F196">
    <cfRule type="duplicateValues" dxfId="3" priority="39"/>
  </conditionalFormatting>
  <conditionalFormatting sqref="F611:G611 I611">
    <cfRule type="duplicateValues" dxfId="2" priority="1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"/>
  <sheetViews>
    <sheetView zoomScaleNormal="100" workbookViewId="0">
      <pane xSplit="1" ySplit="1" topLeftCell="B5" activePane="bottomRight" state="frozen"/>
      <selection pane="topRight" activeCell="B1" sqref="B1"/>
      <selection pane="bottomLeft" activeCell="A5" sqref="A5"/>
      <selection pane="bottomRight" activeCell="F1" sqref="F1"/>
    </sheetView>
  </sheetViews>
  <sheetFormatPr defaultColWidth="19.28515625" defaultRowHeight="15" outlineLevelRow="1"/>
  <cols>
    <col min="1" max="1" width="28.5703125" customWidth="1"/>
    <col min="4" max="4" width="24.85546875" customWidth="1"/>
    <col min="5" max="5" width="24" customWidth="1"/>
    <col min="7" max="7" width="22.7109375" customWidth="1"/>
    <col min="9" max="9" width="54.28515625" customWidth="1"/>
  </cols>
  <sheetData>
    <row r="1" spans="1:10" ht="18.75">
      <c r="A1" s="197" t="s">
        <v>1264</v>
      </c>
      <c r="B1" s="197" t="s">
        <v>1265</v>
      </c>
      <c r="C1" s="197" t="s">
        <v>1266</v>
      </c>
      <c r="D1" s="197" t="s">
        <v>1267</v>
      </c>
      <c r="E1" s="197" t="s">
        <v>1268</v>
      </c>
      <c r="F1" s="197" t="s">
        <v>1953</v>
      </c>
      <c r="G1" s="197" t="s">
        <v>10</v>
      </c>
      <c r="H1" s="198" t="s">
        <v>11</v>
      </c>
      <c r="I1" s="199" t="s">
        <v>1954</v>
      </c>
      <c r="J1" s="202" t="s">
        <v>1116</v>
      </c>
    </row>
    <row r="2" spans="1:10">
      <c r="A2" s="172" t="s">
        <v>1375</v>
      </c>
      <c r="B2" s="72">
        <v>5</v>
      </c>
      <c r="C2" s="72" t="s">
        <v>1673</v>
      </c>
      <c r="D2" s="72" t="s">
        <v>1955</v>
      </c>
      <c r="E2" s="72" t="s">
        <v>15</v>
      </c>
      <c r="F2" s="72" t="s">
        <v>15</v>
      </c>
      <c r="G2" s="72" t="s">
        <v>151</v>
      </c>
      <c r="H2" s="193"/>
      <c r="I2" s="72"/>
      <c r="J2" s="200"/>
    </row>
    <row r="3" spans="1:10" outlineLevel="1">
      <c r="A3" s="27" t="s">
        <v>1375</v>
      </c>
      <c r="B3" s="27">
        <v>1</v>
      </c>
      <c r="C3" s="27" t="s">
        <v>1673</v>
      </c>
      <c r="D3" s="27" t="s">
        <v>1955</v>
      </c>
      <c r="E3" s="27" t="s">
        <v>1956</v>
      </c>
      <c r="F3" s="73" t="s">
        <v>1957</v>
      </c>
      <c r="G3" s="27" t="s">
        <v>151</v>
      </c>
      <c r="H3" s="35"/>
      <c r="I3" s="43" t="s">
        <v>1958</v>
      </c>
      <c r="J3" s="201"/>
    </row>
    <row r="4" spans="1:10" outlineLevel="1">
      <c r="A4" s="27" t="s">
        <v>1375</v>
      </c>
      <c r="B4" s="27">
        <v>1</v>
      </c>
      <c r="C4" s="27" t="s">
        <v>1673</v>
      </c>
      <c r="D4" s="27" t="s">
        <v>1955</v>
      </c>
      <c r="E4" s="27" t="s">
        <v>1959</v>
      </c>
      <c r="F4" s="73" t="s">
        <v>1960</v>
      </c>
      <c r="G4" s="27" t="s">
        <v>151</v>
      </c>
      <c r="H4" s="35"/>
      <c r="I4" s="43" t="s">
        <v>1961</v>
      </c>
      <c r="J4" s="201"/>
    </row>
    <row r="5" spans="1:10" outlineLevel="1">
      <c r="A5" s="27" t="s">
        <v>1375</v>
      </c>
      <c r="B5" s="27">
        <v>1</v>
      </c>
      <c r="C5" s="27" t="s">
        <v>1673</v>
      </c>
      <c r="D5" s="27" t="s">
        <v>1955</v>
      </c>
      <c r="E5" s="27" t="s">
        <v>1962</v>
      </c>
      <c r="F5" s="73" t="s">
        <v>1963</v>
      </c>
      <c r="G5" s="27" t="s">
        <v>151</v>
      </c>
      <c r="H5" s="35"/>
      <c r="I5" s="43" t="s">
        <v>1964</v>
      </c>
      <c r="J5" s="201"/>
    </row>
    <row r="6" spans="1:10" outlineLevel="1">
      <c r="A6" s="27" t="s">
        <v>1375</v>
      </c>
      <c r="B6" s="27">
        <v>1</v>
      </c>
      <c r="C6" s="27" t="s">
        <v>1673</v>
      </c>
      <c r="D6" s="27" t="s">
        <v>1955</v>
      </c>
      <c r="E6" s="27" t="s">
        <v>1965</v>
      </c>
      <c r="F6" s="73" t="s">
        <v>1966</v>
      </c>
      <c r="G6" s="27" t="s">
        <v>151</v>
      </c>
      <c r="H6" s="35"/>
      <c r="I6" s="43" t="s">
        <v>1967</v>
      </c>
      <c r="J6" s="201"/>
    </row>
    <row r="7" spans="1:10" ht="30" outlineLevel="1">
      <c r="A7" s="27" t="s">
        <v>1375</v>
      </c>
      <c r="B7" s="27">
        <v>1</v>
      </c>
      <c r="C7" s="27" t="s">
        <v>1673</v>
      </c>
      <c r="D7" s="27" t="s">
        <v>1955</v>
      </c>
      <c r="E7" s="27" t="s">
        <v>1968</v>
      </c>
      <c r="F7" s="73" t="s">
        <v>1969</v>
      </c>
      <c r="G7" s="27" t="s">
        <v>151</v>
      </c>
      <c r="H7" s="35"/>
      <c r="I7" s="203" t="s">
        <v>1970</v>
      </c>
      <c r="J7" s="201"/>
    </row>
    <row r="8" spans="1:10">
      <c r="A8" s="172" t="s">
        <v>792</v>
      </c>
      <c r="B8" s="72">
        <v>1</v>
      </c>
      <c r="C8" s="72" t="s">
        <v>1376</v>
      </c>
      <c r="D8" s="72" t="s">
        <v>1971</v>
      </c>
      <c r="E8" s="72" t="s">
        <v>1972</v>
      </c>
      <c r="F8" s="73" t="s">
        <v>1973</v>
      </c>
      <c r="G8" s="72" t="s">
        <v>151</v>
      </c>
      <c r="H8" s="193">
        <v>45582</v>
      </c>
      <c r="I8" s="72"/>
      <c r="J8" s="200"/>
    </row>
    <row r="9" spans="1:10">
      <c r="A9" s="172" t="s">
        <v>1974</v>
      </c>
      <c r="B9" s="72">
        <v>1</v>
      </c>
      <c r="C9" s="72" t="s">
        <v>1376</v>
      </c>
      <c r="D9" s="72" t="s">
        <v>1975</v>
      </c>
      <c r="E9" s="72" t="s">
        <v>1976</v>
      </c>
      <c r="F9" s="73" t="s">
        <v>1977</v>
      </c>
      <c r="G9" s="72" t="s">
        <v>151</v>
      </c>
      <c r="H9" s="193">
        <v>45582</v>
      </c>
      <c r="I9" s="72"/>
      <c r="J9" s="200"/>
    </row>
    <row r="10" spans="1:10">
      <c r="A10" s="172" t="s">
        <v>1978</v>
      </c>
      <c r="B10" s="72">
        <v>1</v>
      </c>
      <c r="C10" s="72" t="s">
        <v>1376</v>
      </c>
      <c r="D10" s="72" t="s">
        <v>1979</v>
      </c>
      <c r="E10" s="72" t="s">
        <v>1268</v>
      </c>
      <c r="F10" s="73" t="s">
        <v>1980</v>
      </c>
      <c r="G10" s="72" t="s">
        <v>151</v>
      </c>
      <c r="H10" s="193">
        <v>45582</v>
      </c>
      <c r="I10" s="72"/>
      <c r="J10" s="200"/>
    </row>
    <row r="11" spans="1:10">
      <c r="A11" s="172" t="s">
        <v>1735</v>
      </c>
      <c r="B11" s="72">
        <v>1</v>
      </c>
      <c r="C11" s="72" t="s">
        <v>1376</v>
      </c>
      <c r="D11" s="72" t="s">
        <v>1981</v>
      </c>
      <c r="E11" s="72" t="s">
        <v>1982</v>
      </c>
      <c r="F11" s="73" t="s">
        <v>1983</v>
      </c>
      <c r="G11" s="72" t="s">
        <v>151</v>
      </c>
      <c r="H11" s="193">
        <v>45582</v>
      </c>
      <c r="I11" s="72"/>
      <c r="J11" s="200"/>
    </row>
    <row r="12" spans="1:10">
      <c r="A12" s="172" t="s">
        <v>1984</v>
      </c>
      <c r="B12" s="72">
        <v>5</v>
      </c>
      <c r="C12" s="72" t="s">
        <v>1472</v>
      </c>
      <c r="D12" s="72" t="s">
        <v>1985</v>
      </c>
      <c r="E12" s="72" t="s">
        <v>1268</v>
      </c>
      <c r="F12" s="73" t="s">
        <v>1986</v>
      </c>
      <c r="G12" s="72" t="s">
        <v>1987</v>
      </c>
      <c r="H12" s="193">
        <v>45582</v>
      </c>
      <c r="I12" s="72" t="s">
        <v>26</v>
      </c>
      <c r="J12" s="200"/>
    </row>
    <row r="13" spans="1:10">
      <c r="A13" s="172" t="s">
        <v>1988</v>
      </c>
      <c r="B13" s="72">
        <v>5</v>
      </c>
      <c r="C13" s="72" t="s">
        <v>1472</v>
      </c>
      <c r="D13" s="72" t="s">
        <v>1989</v>
      </c>
      <c r="E13" s="72" t="s">
        <v>1268</v>
      </c>
      <c r="F13" s="73" t="s">
        <v>1990</v>
      </c>
      <c r="G13" s="72" t="s">
        <v>1987</v>
      </c>
      <c r="H13" s="193">
        <v>45582</v>
      </c>
      <c r="I13" s="72" t="s">
        <v>26</v>
      </c>
      <c r="J13" s="200"/>
    </row>
    <row r="14" spans="1:10">
      <c r="A14" s="172" t="s">
        <v>1991</v>
      </c>
      <c r="B14" s="72">
        <v>10</v>
      </c>
      <c r="C14" s="72" t="s">
        <v>1746</v>
      </c>
      <c r="D14" s="72" t="s">
        <v>1992</v>
      </c>
      <c r="E14" s="72" t="s">
        <v>1268</v>
      </c>
      <c r="F14" s="72" t="s">
        <v>35</v>
      </c>
      <c r="G14" s="72" t="s">
        <v>1987</v>
      </c>
      <c r="H14" s="193">
        <v>45582</v>
      </c>
      <c r="I14" s="72" t="s">
        <v>26</v>
      </c>
      <c r="J14" s="200"/>
    </row>
    <row r="15" spans="1:10">
      <c r="A15" s="172" t="s">
        <v>1993</v>
      </c>
      <c r="B15" s="72">
        <v>1</v>
      </c>
      <c r="C15" s="72" t="s">
        <v>1529</v>
      </c>
      <c r="D15" s="72" t="s">
        <v>1994</v>
      </c>
      <c r="E15" s="72" t="s">
        <v>1995</v>
      </c>
      <c r="F15" s="73" t="s">
        <v>1996</v>
      </c>
      <c r="G15" s="72" t="s">
        <v>151</v>
      </c>
      <c r="H15" s="193">
        <v>45582</v>
      </c>
      <c r="I15" s="72"/>
      <c r="J15" s="200"/>
    </row>
    <row r="16" spans="1:10">
      <c r="A16" s="172" t="s">
        <v>1997</v>
      </c>
      <c r="B16" s="72">
        <v>2</v>
      </c>
      <c r="C16" s="72" t="s">
        <v>1311</v>
      </c>
      <c r="D16" s="72" t="s">
        <v>1998</v>
      </c>
      <c r="E16" s="72" t="s">
        <v>15</v>
      </c>
      <c r="F16" s="72" t="s">
        <v>15</v>
      </c>
      <c r="G16" s="72" t="s">
        <v>151</v>
      </c>
      <c r="H16" s="193">
        <v>45582</v>
      </c>
      <c r="I16" s="72"/>
      <c r="J16" s="200"/>
    </row>
    <row r="17" spans="1:10" outlineLevel="1">
      <c r="A17" s="27" t="s">
        <v>1997</v>
      </c>
      <c r="B17" s="27">
        <v>1</v>
      </c>
      <c r="C17" s="27" t="s">
        <v>1311</v>
      </c>
      <c r="D17" s="27" t="s">
        <v>1998</v>
      </c>
      <c r="E17" s="27" t="s">
        <v>1999</v>
      </c>
      <c r="F17" s="73" t="s">
        <v>2000</v>
      </c>
      <c r="G17" s="27" t="s">
        <v>151</v>
      </c>
      <c r="H17" s="35">
        <v>45582</v>
      </c>
      <c r="I17" s="27"/>
      <c r="J17" s="201"/>
    </row>
    <row r="18" spans="1:10" outlineLevel="1">
      <c r="A18" s="27" t="s">
        <v>1997</v>
      </c>
      <c r="B18" s="27">
        <v>1</v>
      </c>
      <c r="C18" s="27" t="s">
        <v>1311</v>
      </c>
      <c r="D18" s="27" t="s">
        <v>1998</v>
      </c>
      <c r="E18" s="27" t="s">
        <v>2001</v>
      </c>
      <c r="F18" s="73" t="s">
        <v>2002</v>
      </c>
      <c r="G18" s="27" t="s">
        <v>151</v>
      </c>
      <c r="H18" s="35">
        <v>45582</v>
      </c>
      <c r="I18" s="27"/>
      <c r="J18" s="201"/>
    </row>
    <row r="19" spans="1:10">
      <c r="A19" s="172" t="s">
        <v>2003</v>
      </c>
      <c r="B19" s="72">
        <v>5</v>
      </c>
      <c r="C19" s="72" t="s">
        <v>2004</v>
      </c>
      <c r="D19" s="72" t="s">
        <v>2005</v>
      </c>
      <c r="E19" s="72" t="s">
        <v>1268</v>
      </c>
      <c r="F19" s="72" t="s">
        <v>35</v>
      </c>
      <c r="G19" s="72" t="s">
        <v>1987</v>
      </c>
      <c r="H19" s="193">
        <v>45583</v>
      </c>
      <c r="I19" s="72" t="s">
        <v>26</v>
      </c>
      <c r="J19" s="200"/>
    </row>
    <row r="20" spans="1:10">
      <c r="A20" s="172" t="s">
        <v>2006</v>
      </c>
      <c r="B20" s="72">
        <v>2</v>
      </c>
      <c r="C20" s="72" t="s">
        <v>1288</v>
      </c>
      <c r="D20" s="72" t="s">
        <v>2007</v>
      </c>
      <c r="E20" s="72" t="s">
        <v>15</v>
      </c>
      <c r="F20" s="72" t="s">
        <v>15</v>
      </c>
      <c r="G20" s="72" t="s">
        <v>2008</v>
      </c>
      <c r="H20" s="72" t="s">
        <v>15</v>
      </c>
      <c r="I20" s="72" t="s">
        <v>2008</v>
      </c>
      <c r="J20" s="200"/>
    </row>
    <row r="21" spans="1:10" outlineLevel="1">
      <c r="A21" s="27" t="s">
        <v>2006</v>
      </c>
      <c r="B21" s="27">
        <v>1</v>
      </c>
      <c r="C21" s="27" t="s">
        <v>1288</v>
      </c>
      <c r="D21" s="27" t="s">
        <v>2007</v>
      </c>
      <c r="E21" s="27" t="s">
        <v>1268</v>
      </c>
      <c r="F21" s="73" t="s">
        <v>2009</v>
      </c>
      <c r="G21" s="27" t="s">
        <v>2008</v>
      </c>
      <c r="H21" s="35">
        <v>45581</v>
      </c>
      <c r="I21" s="27" t="s">
        <v>2008</v>
      </c>
      <c r="J21" s="201"/>
    </row>
    <row r="22" spans="1:10" outlineLevel="1">
      <c r="A22" s="27" t="s">
        <v>2006</v>
      </c>
      <c r="B22" s="27">
        <v>1</v>
      </c>
      <c r="C22" s="27" t="s">
        <v>1288</v>
      </c>
      <c r="D22" s="27" t="s">
        <v>2007</v>
      </c>
      <c r="E22" s="27" t="s">
        <v>1268</v>
      </c>
      <c r="F22" s="73" t="s">
        <v>2010</v>
      </c>
      <c r="G22" s="27" t="s">
        <v>2008</v>
      </c>
      <c r="H22" s="35">
        <v>45581</v>
      </c>
      <c r="I22" s="27" t="s">
        <v>2008</v>
      </c>
      <c r="J22" s="201"/>
    </row>
    <row r="23" spans="1:10">
      <c r="A23" s="172" t="s">
        <v>2011</v>
      </c>
      <c r="B23" s="72">
        <v>2</v>
      </c>
      <c r="C23" s="72" t="s">
        <v>2004</v>
      </c>
      <c r="D23" s="72" t="s">
        <v>1358</v>
      </c>
      <c r="E23" s="72" t="s">
        <v>1268</v>
      </c>
      <c r="F23" s="72" t="s">
        <v>15</v>
      </c>
      <c r="G23" s="72" t="s">
        <v>1987</v>
      </c>
      <c r="H23" s="72" t="s">
        <v>15</v>
      </c>
      <c r="I23" s="72" t="s">
        <v>26</v>
      </c>
      <c r="J23" s="200"/>
    </row>
    <row r="24" spans="1:10" outlineLevel="1">
      <c r="A24" s="27" t="s">
        <v>2011</v>
      </c>
      <c r="B24" s="27">
        <v>1</v>
      </c>
      <c r="C24" s="27" t="s">
        <v>2004</v>
      </c>
      <c r="D24" s="27" t="s">
        <v>1358</v>
      </c>
      <c r="E24" s="27" t="s">
        <v>1268</v>
      </c>
      <c r="F24" s="73" t="s">
        <v>2012</v>
      </c>
      <c r="G24" s="27" t="s">
        <v>1987</v>
      </c>
      <c r="H24" s="35">
        <v>45583</v>
      </c>
      <c r="I24" s="27" t="s">
        <v>1130</v>
      </c>
      <c r="J24" s="201"/>
    </row>
    <row r="25" spans="1:10" outlineLevel="1">
      <c r="A25" s="27" t="s">
        <v>2011</v>
      </c>
      <c r="B25" s="27">
        <v>1</v>
      </c>
      <c r="C25" s="27" t="s">
        <v>2004</v>
      </c>
      <c r="D25" s="27" t="s">
        <v>1358</v>
      </c>
      <c r="E25" s="27" t="s">
        <v>1268</v>
      </c>
      <c r="F25" s="73" t="s">
        <v>2013</v>
      </c>
      <c r="G25" s="27" t="s">
        <v>1987</v>
      </c>
      <c r="H25" s="35">
        <v>45583</v>
      </c>
      <c r="I25" s="27" t="s">
        <v>1130</v>
      </c>
      <c r="J25" s="201"/>
    </row>
    <row r="26" spans="1:10">
      <c r="A26" s="90" t="s">
        <v>2014</v>
      </c>
      <c r="B26" s="27">
        <v>1</v>
      </c>
      <c r="C26" s="27" t="s">
        <v>1288</v>
      </c>
      <c r="D26" s="27" t="s">
        <v>2015</v>
      </c>
      <c r="E26" s="27" t="s">
        <v>1268</v>
      </c>
      <c r="F26" s="73" t="s">
        <v>2016</v>
      </c>
      <c r="G26" s="27" t="s">
        <v>2008</v>
      </c>
      <c r="H26" s="35">
        <v>45581</v>
      </c>
      <c r="I26" s="27" t="s">
        <v>26</v>
      </c>
      <c r="J26" s="201"/>
    </row>
    <row r="27" spans="1:10">
      <c r="A27" s="90" t="s">
        <v>2017</v>
      </c>
      <c r="B27" s="27">
        <v>1</v>
      </c>
      <c r="C27" s="27" t="s">
        <v>1051</v>
      </c>
      <c r="D27" s="27" t="s">
        <v>2018</v>
      </c>
      <c r="E27" s="27" t="s">
        <v>2019</v>
      </c>
      <c r="F27" s="73" t="s">
        <v>2020</v>
      </c>
      <c r="G27" s="27" t="s">
        <v>1987</v>
      </c>
      <c r="H27" s="35">
        <v>45583</v>
      </c>
      <c r="I27" s="27" t="s">
        <v>26</v>
      </c>
      <c r="J27" s="201"/>
    </row>
    <row r="28" spans="1:10">
      <c r="A28" s="172" t="s">
        <v>2021</v>
      </c>
      <c r="B28" s="72">
        <v>2</v>
      </c>
      <c r="C28" s="72" t="s">
        <v>2022</v>
      </c>
      <c r="D28" s="72">
        <v>9511165</v>
      </c>
      <c r="E28" s="72" t="s">
        <v>1268</v>
      </c>
      <c r="F28" s="72" t="s">
        <v>35</v>
      </c>
      <c r="G28" s="72" t="s">
        <v>1987</v>
      </c>
      <c r="H28" s="193">
        <v>45583</v>
      </c>
      <c r="I28" s="72" t="s">
        <v>26</v>
      </c>
      <c r="J28" s="200"/>
    </row>
    <row r="29" spans="1:10">
      <c r="A29" s="172" t="s">
        <v>2023</v>
      </c>
      <c r="B29" s="72">
        <v>4</v>
      </c>
      <c r="C29" s="72" t="s">
        <v>1365</v>
      </c>
      <c r="D29" s="72" t="s">
        <v>15</v>
      </c>
      <c r="E29" s="72" t="s">
        <v>15</v>
      </c>
      <c r="F29" s="72" t="s">
        <v>15</v>
      </c>
      <c r="G29" s="72" t="s">
        <v>1987</v>
      </c>
      <c r="H29" s="72" t="s">
        <v>15</v>
      </c>
      <c r="I29" s="72" t="s">
        <v>15</v>
      </c>
      <c r="J29" s="200"/>
    </row>
    <row r="30" spans="1:10" outlineLevel="1">
      <c r="A30" s="27" t="s">
        <v>2024</v>
      </c>
      <c r="B30" s="27">
        <v>1</v>
      </c>
      <c r="C30" s="27" t="s">
        <v>1365</v>
      </c>
      <c r="D30" s="27" t="s">
        <v>2025</v>
      </c>
      <c r="E30" s="27" t="s">
        <v>1268</v>
      </c>
      <c r="F30" s="73" t="s">
        <v>2026</v>
      </c>
      <c r="G30" s="27" t="s">
        <v>1987</v>
      </c>
      <c r="H30" s="35">
        <v>45581</v>
      </c>
      <c r="I30" s="27" t="s">
        <v>26</v>
      </c>
      <c r="J30" s="201"/>
    </row>
    <row r="31" spans="1:10" outlineLevel="1">
      <c r="A31" s="27" t="s">
        <v>2024</v>
      </c>
      <c r="B31" s="27">
        <v>1</v>
      </c>
      <c r="C31" s="27" t="s">
        <v>1365</v>
      </c>
      <c r="D31" s="27" t="s">
        <v>2025</v>
      </c>
      <c r="E31" s="27" t="s">
        <v>1268</v>
      </c>
      <c r="F31" s="73" t="s">
        <v>2027</v>
      </c>
      <c r="G31" s="27" t="s">
        <v>1987</v>
      </c>
      <c r="H31" s="35">
        <v>45581</v>
      </c>
      <c r="I31" s="27" t="s">
        <v>26</v>
      </c>
      <c r="J31" s="201"/>
    </row>
    <row r="32" spans="1:10" outlineLevel="1">
      <c r="A32" s="27" t="s">
        <v>2024</v>
      </c>
      <c r="B32" s="27">
        <v>1</v>
      </c>
      <c r="C32" s="27" t="s">
        <v>1365</v>
      </c>
      <c r="D32" s="27" t="s">
        <v>2025</v>
      </c>
      <c r="E32" s="27" t="s">
        <v>1268</v>
      </c>
      <c r="F32" s="73" t="s">
        <v>2028</v>
      </c>
      <c r="G32" s="27" t="s">
        <v>1987</v>
      </c>
      <c r="H32" s="35">
        <v>45581</v>
      </c>
      <c r="I32" s="27" t="s">
        <v>26</v>
      </c>
      <c r="J32" s="201"/>
    </row>
    <row r="33" spans="1:10" outlineLevel="1">
      <c r="A33" s="27" t="s">
        <v>2024</v>
      </c>
      <c r="B33" s="27">
        <v>1</v>
      </c>
      <c r="C33" s="27" t="s">
        <v>1365</v>
      </c>
      <c r="D33" s="27" t="s">
        <v>2025</v>
      </c>
      <c r="E33" s="27" t="s">
        <v>1268</v>
      </c>
      <c r="F33" s="73" t="s">
        <v>2029</v>
      </c>
      <c r="G33" s="27" t="s">
        <v>1987</v>
      </c>
      <c r="H33" s="35">
        <v>45581</v>
      </c>
      <c r="I33" s="27" t="s">
        <v>26</v>
      </c>
      <c r="J33" s="201"/>
    </row>
    <row r="34" spans="1:10">
      <c r="A34" s="172" t="s">
        <v>2030</v>
      </c>
      <c r="B34" s="72">
        <v>10</v>
      </c>
      <c r="C34" s="72" t="s">
        <v>1288</v>
      </c>
      <c r="D34" s="72" t="s">
        <v>2031</v>
      </c>
      <c r="E34" s="72" t="s">
        <v>1268</v>
      </c>
      <c r="F34" s="72" t="s">
        <v>35</v>
      </c>
      <c r="G34" s="72" t="s">
        <v>893</v>
      </c>
      <c r="H34" s="72" t="s">
        <v>15</v>
      </c>
      <c r="I34" s="72" t="s">
        <v>26</v>
      </c>
      <c r="J34" s="200"/>
    </row>
    <row r="35" spans="1:10" outlineLevel="1">
      <c r="A35" s="27" t="s">
        <v>2032</v>
      </c>
      <c r="B35" s="27">
        <v>1</v>
      </c>
      <c r="C35" s="27" t="s">
        <v>1288</v>
      </c>
      <c r="D35" s="27" t="s">
        <v>2031</v>
      </c>
      <c r="E35" s="27" t="s">
        <v>1268</v>
      </c>
      <c r="F35" s="73" t="s">
        <v>2033</v>
      </c>
      <c r="G35" s="27" t="s">
        <v>893</v>
      </c>
      <c r="H35" s="35">
        <v>45581</v>
      </c>
      <c r="I35" s="27" t="s">
        <v>26</v>
      </c>
      <c r="J35" s="201"/>
    </row>
    <row r="36" spans="1:10" outlineLevel="1">
      <c r="A36" s="27" t="s">
        <v>2032</v>
      </c>
      <c r="B36" s="27">
        <v>1</v>
      </c>
      <c r="C36" s="27" t="s">
        <v>1288</v>
      </c>
      <c r="D36" s="27" t="s">
        <v>2031</v>
      </c>
      <c r="E36" s="27" t="s">
        <v>1268</v>
      </c>
      <c r="F36" s="73" t="s">
        <v>2034</v>
      </c>
      <c r="G36" s="27" t="s">
        <v>893</v>
      </c>
      <c r="H36" s="35">
        <v>45581</v>
      </c>
      <c r="I36" s="27" t="s">
        <v>26</v>
      </c>
      <c r="J36" s="201"/>
    </row>
    <row r="37" spans="1:10" outlineLevel="1">
      <c r="A37" s="27" t="s">
        <v>2032</v>
      </c>
      <c r="B37" s="27">
        <v>1</v>
      </c>
      <c r="C37" s="27" t="s">
        <v>1288</v>
      </c>
      <c r="D37" s="27" t="s">
        <v>2031</v>
      </c>
      <c r="E37" s="27" t="s">
        <v>1268</v>
      </c>
      <c r="F37" s="73" t="s">
        <v>2035</v>
      </c>
      <c r="G37" s="27" t="s">
        <v>893</v>
      </c>
      <c r="H37" s="35">
        <v>45581</v>
      </c>
      <c r="I37" s="27" t="s">
        <v>26</v>
      </c>
      <c r="J37" s="201"/>
    </row>
    <row r="38" spans="1:10" outlineLevel="1">
      <c r="A38" s="27" t="s">
        <v>2032</v>
      </c>
      <c r="B38" s="27">
        <v>1</v>
      </c>
      <c r="C38" s="27" t="s">
        <v>1288</v>
      </c>
      <c r="D38" s="27" t="s">
        <v>2031</v>
      </c>
      <c r="E38" s="27" t="s">
        <v>1268</v>
      </c>
      <c r="F38" s="73" t="s">
        <v>2036</v>
      </c>
      <c r="G38" s="27" t="s">
        <v>893</v>
      </c>
      <c r="H38" s="35">
        <v>45581</v>
      </c>
      <c r="I38" s="27" t="s">
        <v>26</v>
      </c>
      <c r="J38" s="201"/>
    </row>
    <row r="39" spans="1:10" outlineLevel="1">
      <c r="A39" s="27" t="s">
        <v>2032</v>
      </c>
      <c r="B39" s="27">
        <v>1</v>
      </c>
      <c r="C39" s="27" t="s">
        <v>1288</v>
      </c>
      <c r="D39" s="27" t="s">
        <v>2031</v>
      </c>
      <c r="E39" s="27" t="s">
        <v>1268</v>
      </c>
      <c r="F39" s="73" t="s">
        <v>2037</v>
      </c>
      <c r="G39" s="27" t="s">
        <v>893</v>
      </c>
      <c r="H39" s="35">
        <v>45581</v>
      </c>
      <c r="I39" s="27" t="s">
        <v>26</v>
      </c>
      <c r="J39" s="201"/>
    </row>
    <row r="40" spans="1:10" outlineLevel="1">
      <c r="A40" s="27" t="s">
        <v>2032</v>
      </c>
      <c r="B40" s="27">
        <v>1</v>
      </c>
      <c r="C40" s="27" t="s">
        <v>1288</v>
      </c>
      <c r="D40" s="27" t="s">
        <v>2031</v>
      </c>
      <c r="E40" s="27" t="s">
        <v>1268</v>
      </c>
      <c r="F40" s="73" t="s">
        <v>2038</v>
      </c>
      <c r="G40" s="27" t="s">
        <v>893</v>
      </c>
      <c r="H40" s="35">
        <v>45581</v>
      </c>
      <c r="I40" s="27" t="s">
        <v>26</v>
      </c>
      <c r="J40" s="201"/>
    </row>
    <row r="41" spans="1:10" outlineLevel="1">
      <c r="A41" s="27" t="s">
        <v>2032</v>
      </c>
      <c r="B41" s="27">
        <v>1</v>
      </c>
      <c r="C41" s="27" t="s">
        <v>1288</v>
      </c>
      <c r="D41" s="27" t="s">
        <v>2031</v>
      </c>
      <c r="E41" s="27" t="s">
        <v>1268</v>
      </c>
      <c r="F41" s="73" t="s">
        <v>2039</v>
      </c>
      <c r="G41" s="27" t="s">
        <v>893</v>
      </c>
      <c r="H41" s="35">
        <v>45581</v>
      </c>
      <c r="I41" s="27" t="s">
        <v>26</v>
      </c>
      <c r="J41" s="201"/>
    </row>
    <row r="42" spans="1:10" outlineLevel="1">
      <c r="A42" s="27" t="s">
        <v>2032</v>
      </c>
      <c r="B42" s="27">
        <v>1</v>
      </c>
      <c r="C42" s="27" t="s">
        <v>1288</v>
      </c>
      <c r="D42" s="27" t="s">
        <v>2031</v>
      </c>
      <c r="E42" s="27" t="s">
        <v>1268</v>
      </c>
      <c r="F42" s="73" t="s">
        <v>2040</v>
      </c>
      <c r="G42" s="27" t="s">
        <v>893</v>
      </c>
      <c r="H42" s="35">
        <v>45581</v>
      </c>
      <c r="I42" s="27" t="s">
        <v>26</v>
      </c>
      <c r="J42" s="201"/>
    </row>
    <row r="43" spans="1:10" outlineLevel="1">
      <c r="A43" s="27" t="s">
        <v>2032</v>
      </c>
      <c r="B43" s="27">
        <v>1</v>
      </c>
      <c r="C43" s="27" t="s">
        <v>1288</v>
      </c>
      <c r="D43" s="27" t="s">
        <v>2031</v>
      </c>
      <c r="E43" s="27" t="s">
        <v>1268</v>
      </c>
      <c r="F43" s="73" t="s">
        <v>2041</v>
      </c>
      <c r="G43" s="27" t="s">
        <v>893</v>
      </c>
      <c r="H43" s="35">
        <v>45581</v>
      </c>
      <c r="I43" s="27" t="s">
        <v>26</v>
      </c>
      <c r="J43" s="201"/>
    </row>
    <row r="44" spans="1:10" outlineLevel="1">
      <c r="A44" s="27" t="s">
        <v>2032</v>
      </c>
      <c r="B44" s="27">
        <v>1</v>
      </c>
      <c r="C44" s="27" t="s">
        <v>1288</v>
      </c>
      <c r="D44" s="27" t="s">
        <v>2031</v>
      </c>
      <c r="E44" s="27" t="s">
        <v>1268</v>
      </c>
      <c r="F44" s="73" t="s">
        <v>2042</v>
      </c>
      <c r="G44" s="27" t="s">
        <v>893</v>
      </c>
      <c r="H44" s="35">
        <v>45581</v>
      </c>
      <c r="I44" s="27" t="s">
        <v>26</v>
      </c>
      <c r="J44" s="201"/>
    </row>
    <row r="45" spans="1:10">
      <c r="A45" s="172" t="s">
        <v>2043</v>
      </c>
      <c r="B45" s="72">
        <v>1</v>
      </c>
      <c r="C45" s="72" t="s">
        <v>1288</v>
      </c>
      <c r="D45" s="72" t="s">
        <v>2044</v>
      </c>
      <c r="E45" s="72" t="s">
        <v>1268</v>
      </c>
      <c r="F45" s="73"/>
      <c r="G45" s="72" t="s">
        <v>893</v>
      </c>
      <c r="H45" s="193">
        <v>45581</v>
      </c>
      <c r="I45" s="72" t="s">
        <v>26</v>
      </c>
      <c r="J45" s="200"/>
    </row>
    <row r="46" spans="1:10">
      <c r="A46" s="172" t="s">
        <v>2045</v>
      </c>
      <c r="B46" s="72">
        <v>1</v>
      </c>
      <c r="C46" s="72" t="s">
        <v>1288</v>
      </c>
      <c r="D46" s="72" t="s">
        <v>2046</v>
      </c>
      <c r="E46" s="72" t="s">
        <v>1268</v>
      </c>
      <c r="F46" s="73"/>
      <c r="G46" s="72" t="s">
        <v>893</v>
      </c>
      <c r="H46" s="193">
        <v>45581</v>
      </c>
      <c r="I46" s="72" t="s">
        <v>26</v>
      </c>
      <c r="J46" s="200"/>
    </row>
    <row r="47" spans="1:10">
      <c r="A47" s="90"/>
      <c r="B47" s="27"/>
      <c r="C47" s="27"/>
      <c r="D47" s="27"/>
      <c r="E47" s="27"/>
      <c r="F47" s="27"/>
      <c r="G47" s="27"/>
      <c r="H47" s="35"/>
      <c r="I47" s="27"/>
      <c r="J47" s="201"/>
    </row>
    <row r="48" spans="1:10">
      <c r="A48" s="90"/>
      <c r="B48" s="27"/>
      <c r="C48" s="27"/>
      <c r="D48" s="27"/>
      <c r="E48" s="27"/>
      <c r="F48" s="27"/>
      <c r="G48" s="27"/>
      <c r="H48" s="35"/>
      <c r="I48" s="27"/>
      <c r="J48" s="201"/>
    </row>
    <row r="49" spans="1:10">
      <c r="A49" s="90"/>
      <c r="B49" s="27"/>
      <c r="C49" s="27"/>
      <c r="D49" s="27"/>
      <c r="E49" s="27"/>
      <c r="F49" s="27"/>
      <c r="G49" s="27"/>
      <c r="H49" s="35"/>
      <c r="I49" s="27"/>
      <c r="J49" s="201"/>
    </row>
    <row r="50" spans="1:10">
      <c r="A50" s="90"/>
      <c r="B50" s="27"/>
      <c r="C50" s="27"/>
      <c r="D50" s="27"/>
      <c r="E50" s="27"/>
      <c r="F50" s="27"/>
      <c r="G50" s="27"/>
      <c r="H50" s="35"/>
      <c r="I50" s="27"/>
      <c r="J50" s="201"/>
    </row>
  </sheetData>
  <conditionalFormatting sqref="F17:F18 F3:F13 F15 F21:F22 F24:F28 F30:F33 F35:F46">
    <cfRule type="duplicateValues" dxfId="1" priority="2"/>
  </conditionalFormatting>
  <conditionalFormatting sqref="F47:F50">
    <cfRule type="duplicateValues" dxfId="0" priority="3"/>
  </conditionalFormatting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Huawei (INVENTARIO JUNIO 24)</vt:lpstr>
      <vt:lpstr>PI ESTATUS</vt:lpstr>
      <vt:lpstr>Huawei</vt:lpstr>
      <vt:lpstr>Sheet1</vt:lpstr>
      <vt:lpstr>XYGP</vt:lpstr>
      <vt:lpstr>'Huawei (INVENTARIO JUNIO 24)'!Print_Area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</dc:creator>
  <dc:description/>
  <cp:lastModifiedBy>Muro Delgado Jesus Asdrubal</cp:lastModifiedBy>
  <cp:revision>1</cp:revision>
  <cp:lastPrinted>2026-01-14T19:20:02Z</cp:lastPrinted>
  <dcterms:created xsi:type="dcterms:W3CDTF">2019-09-11T19:19:26Z</dcterms:created>
  <dcterms:modified xsi:type="dcterms:W3CDTF">2026-05-22T16:37:46Z</dcterms:modified>
  <dc:language>en-US</dc:language>
</cp:coreProperties>
</file>